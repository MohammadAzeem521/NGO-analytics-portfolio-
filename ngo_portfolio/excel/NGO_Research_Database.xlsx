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2.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GO Research Database" sheetId="1" state="visible" r:id="rId3"/>
    <sheet name="Data Analysis" sheetId="2" state="visible" r:id="rId4"/>
    <sheet name="Dashboard" sheetId="3" state="visible" r:id="rId5"/>
    <sheet name="Data Dictionary" sheetId="4" state="visible" r:id="rId6"/>
    <sheet name="About the Author" sheetId="5" state="visible" r:id="rId7"/>
  </sheets>
  <definedNames>
    <definedName function="false" hidden="true" localSheetId="3" name="_xlnm._FilterDatabase" vbProcedure="false">'Data Dictionary'!$A$3:$D$32</definedName>
    <definedName function="false" hidden="false" localSheetId="0" name="_xlnm.Print_Titles" vbProcedure="false">'NGO Research Database'!$4:$4</definedName>
    <definedName function="false" hidden="true" localSheetId="0" name="_xlnm._FilterDatabase" vbProcedure="false">'NGO Research Database'!$A$4:$AC$14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<sst xmlns="http://schemas.openxmlformats.org/spreadsheetml/2006/main" count="535" uniqueCount="365">
  <si>
    <t xml:space="preserve">NGO RESEARCH DATABASE — LEADING NGOs OPERATING IN INDIA</t>
  </si>
  <si>
    <t xml:space="preserve">Data Analytics Internship Submission | Compiled from Official NGO Websites &amp; Verified Public Sources | July 2026</t>
  </si>
  <si>
    <t xml:space="preserve">S.No.</t>
  </si>
  <si>
    <t xml:space="preserve">NGO Name</t>
  </si>
  <si>
    <t xml:space="preserve">Official Website</t>
  </si>
  <si>
    <t xml:space="preserve">Headquarters</t>
  </si>
  <si>
    <t xml:space="preserve">State</t>
  </si>
  <si>
    <t xml:space="preserve">Country</t>
  </si>
  <si>
    <t xml:space="preserve">Year Founded</t>
  </si>
  <si>
    <t xml:space="preserve">Founder</t>
  </si>
  <si>
    <t xml:space="preserve">Current CEO / Chairperson</t>
  </si>
  <si>
    <t xml:space="preserve">Organization Type</t>
  </si>
  <si>
    <t xml:space="preserve">Area of Work</t>
  </si>
  <si>
    <t xml:space="preserve">Mission</t>
  </si>
  <si>
    <t xml:space="preserve">Vision</t>
  </si>
  <si>
    <t xml:space="preserve">Major Programs</t>
  </si>
  <si>
    <t xml:space="preserve">Key Initiatives</t>
  </si>
  <si>
    <t xml:space="preserve">Target Beneficiaries</t>
  </si>
  <si>
    <t xml:space="preserve">States Covered</t>
  </si>
  <si>
    <t xml:space="preserve">UN SDGs Supported</t>
  </si>
  <si>
    <t xml:space="preserve">Awards / Recognition</t>
  </si>
  <si>
    <t xml:space="preserve">Annual Reach</t>
  </si>
  <si>
    <t xml:space="preserve">Official Email</t>
  </si>
  <si>
    <t xml:space="preserve">Official Phone</t>
  </si>
  <si>
    <t xml:space="preserve">LinkedIn Page</t>
  </si>
  <si>
    <t xml:space="preserve">Facebook</t>
  </si>
  <si>
    <t xml:space="preserve">Instagram</t>
  </si>
  <si>
    <t xml:space="preserve">Twitter/X</t>
  </si>
  <si>
    <t xml:space="preserve">Data Source</t>
  </si>
  <si>
    <t xml:space="preserve">Last Updated</t>
  </si>
  <si>
    <t xml:space="preserve">Remarks</t>
  </si>
  <si>
    <t xml:space="preserve">Smile Foundation</t>
  </si>
  <si>
    <t xml:space="preserve">https://www.smilefoundationindia.org/</t>
  </si>
  <si>
    <t xml:space="preserve">New Delhi</t>
  </si>
  <si>
    <t xml:space="preserve">Delhi</t>
  </si>
  <si>
    <t xml:space="preserve">India</t>
  </si>
  <si>
    <t xml:space="preserve">Santanu Mishra (with fellow corporate professionals)</t>
  </si>
  <si>
    <t xml:space="preserve">Santanu Mishra (Founder &amp; Executive Trustee)</t>
  </si>
  <si>
    <t xml:space="preserve">Registered Trust (NGO)</t>
  </si>
  <si>
    <t xml:space="preserve">Education, Healthcare, Livelihood, Women Empowerment</t>
  </si>
  <si>
    <t xml:space="preserve">To act as a catalyst for change in the process of inclusive growth of the country by implementing effective grassroots intervention strategies in education, healthcare, livelihood and women empowerment.</t>
  </si>
  <si>
    <t xml:space="preserve">Not Publicly Available</t>
  </si>
  <si>
    <t xml:space="preserve">Mission Education; Smile on Wheels; Swabhiman (Women Empowerment); STeP (Skills Training for Employment Programme)</t>
  </si>
  <si>
    <t xml:space="preserve">Smile Twin e-Learning Program; SIFFCY (Smile International Film Festival for Children &amp; Youth)</t>
  </si>
  <si>
    <t xml:space="preserve">Underserved children, youth and women in urban slums and remote villages</t>
  </si>
  <si>
    <t xml:space="preserve">25-27 states</t>
  </si>
  <si>
    <t xml:space="preserve">Not Publicly Available (aligned broadly with SDG 1, 3, 4, 5)</t>
  </si>
  <si>
    <t xml:space="preserve">GE Healthcare Modern Medicare Excellence Award (NGO of the Year); Quality Initiative Mission Award 2013</t>
  </si>
  <si>
    <t xml:space="preserve">20+ lakh (2 million+) children &amp; families annually</t>
  </si>
  <si>
    <t xml:space="preserve">https://in.linkedin.com/company/smile-foundation</t>
  </si>
  <si>
    <t xml:space="preserve">https://www.facebook.com/smilefoundationindia.org/</t>
  </si>
  <si>
    <t xml:space="preserve">smilefoundationindia.org; en.wikipedia.org/wiki/Smile_Foundation; LinkedIn</t>
  </si>
  <si>
    <t xml:space="preserve">July 2026</t>
  </si>
  <si>
    <t xml:space="preserve">Pioneer of the Social Venture Philanthropy (SVP) model in India</t>
  </si>
  <si>
    <t xml:space="preserve">CRY - Child Rights and You</t>
  </si>
  <si>
    <t xml:space="preserve">https://www.cry.org/</t>
  </si>
  <si>
    <t xml:space="preserve">Mumbai</t>
  </si>
  <si>
    <t xml:space="preserve">Maharashtra</t>
  </si>
  <si>
    <t xml:space="preserve">Rippan Kapur</t>
  </si>
  <si>
    <t xml:space="preserve">Puja Marwaha (CEO)</t>
  </si>
  <si>
    <t xml:space="preserve">Registered NGO (Non-Profit)</t>
  </si>
  <si>
    <t xml:space="preserve">Child Rights - Education, Health &amp; Nutrition, Safety &amp; Protection, Child Participation</t>
  </si>
  <si>
    <t xml:space="preserve">To ensure happier childhoods for every child in India by protecting and upholding their rights.</t>
  </si>
  <si>
    <t xml:space="preserve">A world where every child gets to live, learn, grow and play, and enjoy equal rights</t>
  </si>
  <si>
    <t xml:space="preserve">Project Aangan; #YellowFellow; #LearnNotEarn; #ItsAGirlThing; #NotYet</t>
  </si>
  <si>
    <t xml:space="preserve">Bal Sanrakshan Samiti handbook (2020); Body Shop India partnership on menstruation awareness</t>
  </si>
  <si>
    <t xml:space="preserve">Underprivileged children aged 0-18 years</t>
  </si>
  <si>
    <t xml:space="preserve">19-20 states</t>
  </si>
  <si>
    <t xml:space="preserve">ICAI CSR Award for Best CSR Project 2014; Marketing Excellence Award for Social Awareness 2001; Olga Alexeeva Memorial Prize 2018 (CEO Puja Marwaha)</t>
  </si>
  <si>
    <t xml:space="preserve">Impacted over 4.7 million children cumulatively; 21,14,322 children in 2025-26</t>
  </si>
  <si>
    <t xml:space="preserve">https://in.linkedin.com/company/cry</t>
  </si>
  <si>
    <t xml:space="preserve">https://www.facebook.com/CRYINDIA</t>
  </si>
  <si>
    <t xml:space="preserve">https://www.instagram.com/cry_india</t>
  </si>
  <si>
    <t xml:space="preserve">https://www.twitter.com/CRYINDIA</t>
  </si>
  <si>
    <t xml:space="preserve">cry.org; en.wikipedia.org/wiki/Child_Rights_and_You; LinkedIn</t>
  </si>
  <si>
    <t xml:space="preserve">India's oldest and most trusted child rights NGO; works via 144 grassroots project partners</t>
  </si>
  <si>
    <t xml:space="preserve">Pratham Education Foundation</t>
  </si>
  <si>
    <t xml:space="preserve">https://www.pratham.org/</t>
  </si>
  <si>
    <t xml:space="preserve">Dr. Madhav Chavan &amp; Farida Lambay (Co-Founders)</t>
  </si>
  <si>
    <t xml:space="preserve">Dr. Rukmini Banerji (CEO)</t>
  </si>
  <si>
    <t xml:space="preserve">Registered Trust (Education NGO)</t>
  </si>
  <si>
    <t xml:space="preserve">Education - Early Childhood, Elementary Learning, Foundational Literacy &amp; Numeracy, Youth Skilling</t>
  </si>
  <si>
    <t xml:space="preserve">Every Child in School and Learning Well</t>
  </si>
  <si>
    <t xml:space="preserve">ASER (Annual Status of Education Report); TaRL (Teaching at the Right Level); Read India; Second Chance; PraDigi Open Learning</t>
  </si>
  <si>
    <t xml:space="preserve">Lakhon Mein Ek campaign; CAMaL Ka Camp; Karona (COVID-19 remote learning)</t>
  </si>
  <si>
    <t xml:space="preserve">Children, youth and women, especially first-generation learners</t>
  </si>
  <si>
    <t xml:space="preserve">25-26 states and union territories</t>
  </si>
  <si>
    <t xml:space="preserve">Not Publicly Available (aligned broadly with SDG 4 - Quality Education)</t>
  </si>
  <si>
    <t xml:space="preserve">WISE Prize for Education 2012; Skoll Award for Social Entrepreneurship 2011; Henry R. Kravis Prize 2010; Yidan Prize 2021; Lui Che Woo Prize 2018</t>
  </si>
  <si>
    <t xml:space="preserve">7-8 million children and youth annually</t>
  </si>
  <si>
    <t xml:space="preserve">pratham.org; en.wikipedia.org/wiki/Pratham; pratham.org/our-story</t>
  </si>
  <si>
    <t xml:space="preserve">Creator of the globally-adopted ASER citizen-led learning assessment model</t>
  </si>
  <si>
    <t xml:space="preserve">Goonj</t>
  </si>
  <si>
    <t xml:space="preserve">https://goonj.org/</t>
  </si>
  <si>
    <t xml:space="preserve">Anshu Gupta &amp; Meenakshi Gupta</t>
  </si>
  <si>
    <t xml:space="preserve">Anshu Gupta (Founder-Director)</t>
  </si>
  <si>
    <t xml:space="preserve">Registered Society (NGO)</t>
  </si>
  <si>
    <t xml:space="preserve">Disaster Relief, Rural Development, Material as a Development Resource</t>
  </si>
  <si>
    <t xml:space="preserve">Repositioning cloth and other under-utilised urban material, beyond charity, as a resource for rural development and dignity.</t>
  </si>
  <si>
    <t xml:space="preserve">To grow as an idea globally, where material is used mindfully to reach the basics of life to people who need it, without undermining their dignity</t>
  </si>
  <si>
    <t xml:space="preserve">Cloth for Work; Rahat (Disaster Relief); School to School; Not Just a Piece of Cloth (NJPC); MY Pad</t>
  </si>
  <si>
    <t xml:space="preserve">Green by Goonj (upcycling social enterprise); Gram Swabhimaan</t>
  </si>
  <si>
    <t xml:space="preserve">Rural and disaster-affected communities across India</t>
  </si>
  <si>
    <t xml:space="preserve">23 states</t>
  </si>
  <si>
    <t xml:space="preserve">Ramon Magsaysay Award 2015 (Anshu Gupta); World Bank Development Marketplace Award; NASA/US State Dept 'Game Changing Innovation' Award 2012</t>
  </si>
  <si>
    <t xml:space="preserve">3,500+ tonnes of material processed annually</t>
  </si>
  <si>
    <t xml:space="preserve">mail@goonj.org</t>
  </si>
  <si>
    <t xml:space="preserve">+91-11-41401216</t>
  </si>
  <si>
    <t xml:space="preserve">goonj.org; en.wikipedia.org/wiki/Goonj_(NGO)</t>
  </si>
  <si>
    <t xml:space="preserve">Pioneered clothing as a development-sector issue; subject of a Harvard Business School case study</t>
  </si>
  <si>
    <t xml:space="preserve">HelpAge India</t>
  </si>
  <si>
    <t xml:space="preserve">https://www.helpageindia.org/</t>
  </si>
  <si>
    <t xml:space="preserve">Founding figures: Cecil Jackson Cole, John F. Pearson, Samson Daniel</t>
  </si>
  <si>
    <t xml:space="preserve">Rohit Prasad (CEO)</t>
  </si>
  <si>
    <t xml:space="preserve">Elderly Welfare - Healthcare, Livelihood, Advocacy</t>
  </si>
  <si>
    <t xml:space="preserve">To work for the cause and care of disadvantaged older persons, in order to improve their quality of life.</t>
  </si>
  <si>
    <t xml:space="preserve">A society where the elderly have the right to an active, healthy and dignified life</t>
  </si>
  <si>
    <t xml:space="preserve">Mobile Healthcare Units (MHU); Cataract Surgeries; Cancer &amp; Palliative Care; Elder Self-Help Groups</t>
  </si>
  <si>
    <t xml:space="preserve">Student Action for Value Education (SAVE); Digital Literacy for Elders</t>
  </si>
  <si>
    <t xml:space="preserve">Disadvantaged elderly, especially widowed women and BPL seniors</t>
  </si>
  <si>
    <t xml:space="preserve">22-24 states</t>
  </si>
  <si>
    <t xml:space="preserve">UN Population Award 2020; Vayoshreshtha Samman 2014 (Government of India)</t>
  </si>
  <si>
    <t xml:space="preserve">Approximately 2 million elderly directly/indirectly every year</t>
  </si>
  <si>
    <t xml:space="preserve">+91-11-41688955</t>
  </si>
  <si>
    <t xml:space="preserve">https://in.linkedin.com/company/helpage-india</t>
  </si>
  <si>
    <t xml:space="preserve">helpageindia.org; en.wikipedia.org/wiki/HelpAge_India; LinkedIn</t>
  </si>
  <si>
    <t xml:space="preserve">First and only Indian organisation to win the UN Population Award (2020); founding member of HelpAge International</t>
  </si>
  <si>
    <t xml:space="preserve">CARE India</t>
  </si>
  <si>
    <t xml:space="preserve">https://www.careindia.org/</t>
  </si>
  <si>
    <t xml:space="preserve">CARE (Global) entered India via Lincoln Clark, CARE Co-Founder</t>
  </si>
  <si>
    <t xml:space="preserve">Rajan Bahadur (Managing Director &amp; CEO)</t>
  </si>
  <si>
    <t xml:space="preserve">International NGO (Non-Profit)</t>
  </si>
  <si>
    <t xml:space="preserve">Poverty Alleviation, Women &amp; Girls' Empowerment, Health, Livelihoods, Disaster Response</t>
  </si>
  <si>
    <t xml:space="preserve">CARE India helps alleviate poverty and social exclusion by facilitating empowerment of women and girls from poor and marginalised communities.</t>
  </si>
  <si>
    <t xml:space="preserve">A world of hope, tolerance and social justice, where poverty has been overcome and people live in dignity and security</t>
  </si>
  <si>
    <t xml:space="preserve">Health &amp; Nutrition programs; Livelihoods; Education; Disaster/Humanitarian Response</t>
  </si>
  <si>
    <t xml:space="preserve">COVID-19 relief response; 'Jhalki' film on child labour awareness (2019)</t>
  </si>
  <si>
    <t xml:space="preserve">Poor and marginalised women and girls</t>
  </si>
  <si>
    <t xml:space="preserve">Multiple states including Bihar, Madhya Pradesh, Rajasthan, Tamil Nadu, Maharashtra</t>
  </si>
  <si>
    <t xml:space="preserve">Not Publicly Available (Revenue ~US$46.4 million; ~1,100+ employees)</t>
  </si>
  <si>
    <t xml:space="preserve">careindia.org; devex.com/organizations/care-india-20251; endslaverynow.org</t>
  </si>
  <si>
    <t xml:space="preserve">Part of the global CARE confederation; operating in India for over 75 years</t>
  </si>
  <si>
    <t xml:space="preserve">Akshaya Patra Foundation</t>
  </si>
  <si>
    <t xml:space="preserve">https://www.akshayapatra.org/</t>
  </si>
  <si>
    <t xml:space="preserve">Bengaluru</t>
  </si>
  <si>
    <t xml:space="preserve">Karnataka</t>
  </si>
  <si>
    <t xml:space="preserve">Madhu Pandit Dasa (Founder-Chairman)</t>
  </si>
  <si>
    <t xml:space="preserve">Shridhar Venkat (CEO)</t>
  </si>
  <si>
    <t xml:space="preserve">Charitable Trust (Registered under Indian Trusts Act 1882)</t>
  </si>
  <si>
    <t xml:space="preserve">Mid-Day Meal Programme, Child Nutrition, Education Support</t>
  </si>
  <si>
    <t xml:space="preserve">To ensure that no child in India is deprived of education because of hunger, by providing hot, nutritious school meals every school day.</t>
  </si>
  <si>
    <t xml:space="preserve">No child in India shall be deprived of education because of hunger</t>
  </si>
  <si>
    <t xml:space="preserve">PM POSHAN / Mid-Day Meal Scheme implementation; Anganwadi Feeding Programme; Shakti Kits (maternal nutrition)</t>
  </si>
  <si>
    <t xml:space="preserve">COVID-19 Food Relief (250+ million meals); Earthquake relief (Nepal, Turkey)</t>
  </si>
  <si>
    <t xml:space="preserve">Government school children; pregnant and lactating mothers</t>
  </si>
  <si>
    <t xml:space="preserve">16 states and 3 union territories</t>
  </si>
  <si>
    <t xml:space="preserve">Not Publicly Available (aligned broadly with SDG 2 and SDG 4)</t>
  </si>
  <si>
    <t xml:space="preserve">Gandhi Peace Prize 2016; Nikkei Asia Prize (Economic &amp; Business Innovation); Outlook POSHAN Special Jury Award 2019</t>
  </si>
  <si>
    <t xml:space="preserve">Over 2.25 million children served daily; 4+ billion cumulative meals served</t>
  </si>
  <si>
    <t xml:space="preserve">https://in.linkedin.com/company/the-akshaya-patra-foundation</t>
  </si>
  <si>
    <t xml:space="preserve">akshayapatra.org; en.wikipedia.org/wiki/Akshaya_Patra_Foundation; LinkedIn</t>
  </si>
  <si>
    <t xml:space="preserve">World's largest NGO-run school feeding / mid-day meal programme; implementing partner of Govt. of India's PM POSHAN Abhiyaan</t>
  </si>
  <si>
    <t xml:space="preserve">WWF India</t>
  </si>
  <si>
    <t xml:space="preserve">https://www.wwfindia.org/</t>
  </si>
  <si>
    <t xml:space="preserve">Founding Group (Charitable Public Trust, est. 27 November 1969)</t>
  </si>
  <si>
    <t xml:space="preserve">Ravi Singh (Secretary General &amp; CEO)</t>
  </si>
  <si>
    <t xml:space="preserve">Charitable Public Trust (Environmental NGO)</t>
  </si>
  <si>
    <t xml:space="preserve">Wildlife &amp; Habitat Conservation, Climate Change, Water Stewardship, Environmental Education</t>
  </si>
  <si>
    <t xml:space="preserve">To stop the degradation of the planet's natural environment and build a future in which humans live in harmony with nature.</t>
  </si>
  <si>
    <t xml:space="preserve">Building a future in which humans live in harmony with nature</t>
  </si>
  <si>
    <t xml:space="preserve">Species conservation (Tiger, Elephant, Rhino, Snow Leopard, Red Panda); River &amp; Wetland Conservation; Climate &amp; Energy</t>
  </si>
  <si>
    <t xml:space="preserve">Ek Prithvi environmental education programme; anti-poaching and habitat corridor projects</t>
  </si>
  <si>
    <t xml:space="preserve">Wildlife, ecosystems and dependent local communities</t>
  </si>
  <si>
    <t xml:space="preserve">20+ states (60+ state/field offices)</t>
  </si>
  <si>
    <t xml:space="preserve">Not Publicly Available (aligned broadly with SDG 13, 14, 15)</t>
  </si>
  <si>
    <t xml:space="preserve">Not Publicly Available (part of the globally recognised WWF network)</t>
  </si>
  <si>
    <t xml:space="preserve">wwfindia.org; en.wikipedia.org/wiki/WWF-India</t>
  </si>
  <si>
    <t xml:space="preserve">India's largest voluntary body in the field of wildlife/nature conservation; part of the WWF International network (100+ countries)</t>
  </si>
  <si>
    <t xml:space="preserve">GiveIndia</t>
  </si>
  <si>
    <t xml:space="preserve">https://www.giveindia.org/</t>
  </si>
  <si>
    <t xml:space="preserve">Mumbai / Bengaluru</t>
  </si>
  <si>
    <t xml:space="preserve">Maharashtra / Karnataka</t>
  </si>
  <si>
    <t xml:space="preserve">Venkat Krishnan (conceived 1999, registered as Give Foundation April 2000)</t>
  </si>
  <si>
    <t xml:space="preserve">Atul Satija (Founder &amp; CEO)</t>
  </si>
  <si>
    <t xml:space="preserve">Not-for-Profit Company (Sec. 8, Companies Act) - Giving/Crowdfunding Platform</t>
  </si>
  <si>
    <t xml:space="preserve">Philanthropy Platform - Crowdfunding, Corporate Giving, NGO Due-Diligence &amp; Grants</t>
  </si>
  <si>
    <t xml:space="preserve">GiveIndia exists to alleviate poverty by delivering impactful social initiatives and enabling the world to give.</t>
  </si>
  <si>
    <t xml:space="preserve">A poverty-free India built on a strong culture of trusted giving</t>
  </si>
  <si>
    <t xml:space="preserve">Crowdfunding platform; Corporate Giving &amp; CSR consulting; Monthly Giving programmes (No Child Hungry, #EldersLivesMatter)</t>
  </si>
  <si>
    <t xml:space="preserve">10 million mid-day meals initiative; Joy of Giving Week / Daan Utsav</t>
  </si>
  <si>
    <t xml:space="preserve">Beneficiaries of 2,500+ vetted partner NGOs across India</t>
  </si>
  <si>
    <t xml:space="preserve">Not Publicly Available (aligned broadly with SDG 1 and SDG 17)</t>
  </si>
  <si>
    <t xml:space="preserve">15 million+ people impacted via network; 2 million+ donors; 300+ crore in contributions channeled</t>
  </si>
  <si>
    <t xml:space="preserve">giveindia.org; crunchbase.com/organization/giveindia; tracxn.com</t>
  </si>
  <si>
    <t xml:space="preserve">India's largest and most trusted online giving/crowdfunding platform, funded to zero-transaction-cost model by ICICI Bank grant</t>
  </si>
  <si>
    <t xml:space="preserve">SEWA (Self Employed Women's Association)</t>
  </si>
  <si>
    <t xml:space="preserve">https://www.sewa.org/</t>
  </si>
  <si>
    <t xml:space="preserve">Ahmedabad</t>
  </si>
  <si>
    <t xml:space="preserve">Gujarat</t>
  </si>
  <si>
    <t xml:space="preserve">Ela Bhatt (Elaben Bhatt)</t>
  </si>
  <si>
    <t xml:space="preserve">Reema Nanavaty (General Secretary)</t>
  </si>
  <si>
    <t xml:space="preserve">Registered Trade Union (NGO)</t>
  </si>
  <si>
    <t xml:space="preserve">Women's Economic Empowerment, Informal Sector Labour Rights</t>
  </si>
  <si>
    <t xml:space="preserve">To organise women workers in the informal economy for full employment and self-reliance, securing work, income, food and social security.</t>
  </si>
  <si>
    <t xml:space="preserve">Swachh Akash (Clean Skies) - a just, climate-resilient future for informal women workers and their communities</t>
  </si>
  <si>
    <t xml:space="preserve">SEWA Bank (est. 1974); SEWA Academy; Trade Cooperatives (agriculture, dairy, handicrafts); Healthcare &amp; Childcare services</t>
  </si>
  <si>
    <t xml:space="preserve">Swachh Akash climate initiative; Parametric heat-insurance policy for informal women workers (2024)</t>
  </si>
  <si>
    <t xml:space="preserve">Self-employed and informal-sector women workers</t>
  </si>
  <si>
    <t xml:space="preserve">18-20 states</t>
  </si>
  <si>
    <t xml:space="preserve">Not Publicly Available (aligned broadly with SDG 1, 5, 8)</t>
  </si>
  <si>
    <t xml:space="preserve">Ramon Magsaysay Award 1977 (Ela Bhatt); Right Livelihood Award; Niwano Peace Prize 2010</t>
  </si>
  <si>
    <t xml:space="preserve">3.78 million members</t>
  </si>
  <si>
    <t xml:space="preserve">sewa.org; en.wikipedia.org/wiki/Self_Employed_Women's_Association; sewabharat.org</t>
  </si>
  <si>
    <t xml:space="preserve">Single largest national trade union of informal-economy women workers in India; ILO-recognised labour union</t>
  </si>
  <si>
    <t xml:space="preserve">DATA ANALYSIS — NGO RESEARCH DATABASE</t>
  </si>
  <si>
    <t xml:space="preserve">1. TOTAL NGOs RESEARCHED</t>
  </si>
  <si>
    <t xml:space="preserve">Total NGOs in Database</t>
  </si>
  <si>
    <t xml:space="preserve">2. ORGANIZATION TYPE DISTRIBUTION</t>
  </si>
  <si>
    <t xml:space="preserve">Count</t>
  </si>
  <si>
    <t xml:space="preserve">Registered Trust</t>
  </si>
  <si>
    <t xml:space="preserve">Registered NGO</t>
  </si>
  <si>
    <t xml:space="preserve">Registered Society</t>
  </si>
  <si>
    <t xml:space="preserve">International NGO</t>
  </si>
  <si>
    <t xml:space="preserve">Charitable Trust</t>
  </si>
  <si>
    <t xml:space="preserve">Charitable Public Trust</t>
  </si>
  <si>
    <t xml:space="preserve">Not-for-Profit Company</t>
  </si>
  <si>
    <t xml:space="preserve">Registered Trade Union</t>
  </si>
  <si>
    <t xml:space="preserve">3. HEADQUARTERS STATE-WISE DISTRIBUTION</t>
  </si>
  <si>
    <t xml:space="preserve">4. FOUNDED YEAR (DECADE) ANALYSIS</t>
  </si>
  <si>
    <t xml:space="preserve">Decade</t>
  </si>
  <si>
    <t xml:space="preserve">NGOs Founded</t>
  </si>
  <si>
    <t xml:space="preserve">1940s</t>
  </si>
  <si>
    <t xml:space="preserve">1960s</t>
  </si>
  <si>
    <t xml:space="preserve">1970s</t>
  </si>
  <si>
    <t xml:space="preserve">1990s</t>
  </si>
  <si>
    <t xml:space="preserve">2000s</t>
  </si>
  <si>
    <t xml:space="preserve">Oldest NGO (by Year Founded)</t>
  </si>
  <si>
    <t xml:space="preserve">Newest NGO (by Year Founded)</t>
  </si>
  <si>
    <t xml:space="preserve">Average NGO Age (Years, as of 2026)</t>
  </si>
  <si>
    <t xml:space="preserve">5. AREA OF WORK / FOCUS AREA DISTRIBUTION</t>
  </si>
  <si>
    <t xml:space="preserve">Focus Area</t>
  </si>
  <si>
    <t xml:space="preserve">NGOs Working In Area</t>
  </si>
  <si>
    <t xml:space="preserve">Education</t>
  </si>
  <si>
    <t xml:space="preserve">Healthcare</t>
  </si>
  <si>
    <t xml:space="preserve">Health</t>
  </si>
  <si>
    <t xml:space="preserve">Livelihood</t>
  </si>
  <si>
    <t xml:space="preserve">Women Empowerment</t>
  </si>
  <si>
    <t xml:space="preserve">Child Rights</t>
  </si>
  <si>
    <t xml:space="preserve">Elderly Welfare</t>
  </si>
  <si>
    <t xml:space="preserve">Environmental Conservation</t>
  </si>
  <si>
    <t xml:space="preserve">Disaster Relief</t>
  </si>
  <si>
    <t xml:space="preserve">Rural Development</t>
  </si>
  <si>
    <t xml:space="preserve">Nutrition</t>
  </si>
  <si>
    <t xml:space="preserve">Poverty Alleviation</t>
  </si>
  <si>
    <t xml:space="preserve">6. TOP FOCUS AREAS (RANKED)</t>
  </si>
  <si>
    <t xml:space="preserve">Rank</t>
  </si>
  <si>
    <t xml:space="preserve">Focus Area (Highest Frequency)</t>
  </si>
  <si>
    <t xml:space="preserve">7. MISSION STATEMENT — TOP KEYWORDS</t>
  </si>
  <si>
    <t xml:space="preserve">Keyword</t>
  </si>
  <si>
    <t xml:space="preserve">Frequency (across 10 mission statements)</t>
  </si>
  <si>
    <t xml:space="preserve">Women</t>
  </si>
  <si>
    <t xml:space="preserve">Child</t>
  </si>
  <si>
    <t xml:space="preserve">School</t>
  </si>
  <si>
    <t xml:space="preserve">Social</t>
  </si>
  <si>
    <t xml:space="preserve">Empowerment</t>
  </si>
  <si>
    <t xml:space="preserve">Ensure</t>
  </si>
  <si>
    <t xml:space="preserve">Work</t>
  </si>
  <si>
    <t xml:space="preserve">Care</t>
  </si>
  <si>
    <t xml:space="preserve">8. KEY INSIGHTS</t>
  </si>
  <si>
    <t xml:space="preserve">1. Education (Pratham, Smile Foundation, CRY, Akshaya Patra) is the single most represented focus area across the dataset, reflecting the sector's national priority on foundational learning.</t>
  </si>
  <si>
    <t xml:space="preserve">2. Delhi/NCR is the most common headquarters location (4 of 10 NGOs), reinforcing its status as India's non-profit administrative hub.</t>
  </si>
  <si>
    <t xml:space="preserve">3. Half of the surveyed NGOs were founded in the 1970s-1990s, indicating a wave of institution-building in India's early civil-society movement, distinct from the more recent 2000s wave (GiveIndia, Akshaya Patra).</t>
  </si>
  <si>
    <t xml:space="preserve">4. Women's empowerment is a cross-cutting theme, appearing explicitly in the mandates of CARE India, SEWA, and Smile Foundation, beyond dedicated single-issue NGOs.</t>
  </si>
  <si>
    <t xml:space="preserve">5. Several NGOs (CRY, Pratham, Goonj, HelpAge India, SEWA) were founded by individual social entrepreneurs who remain closely associated with the brand, while others (CARE India, WWF India) are Indian chapters of global federations.</t>
  </si>
  <si>
    <t xml:space="preserve">6. Contact-level data (official email/phone) is largely unavailable in public domain sources, consistent with most Indian NGOs directing donor/public queries through web contact forms rather than publishing direct emails.</t>
  </si>
  <si>
    <t xml:space="preserve">9. RECOMMENDATIONS</t>
  </si>
  <si>
    <t xml:space="preserve">1. Prioritise CSR partnerships with NGOs whose focus areas (education, health, livelihood) align most closely with corporate ESG themes for higher grant-utilisation efficiency.</t>
  </si>
  <si>
    <t xml:space="preserve">2. Encourage NGOs lacking published SDG mappings to formally publish SDG alignment, improving transparency for institutional and international donors.</t>
  </si>
  <si>
    <t xml:space="preserve">3. Support smaller/newer NGOs (2000s cohort) in building the multi-decade brand trust that older organisations (CRY, HelpAge India, SEWA) have achieved.</t>
  </si>
  <si>
    <t xml:space="preserve">4. Recommend NGOs publish standardised public contact details (official email/phone) to improve donor and researcher accessibility.</t>
  </si>
  <si>
    <t xml:space="preserve">5. Cross-sector collaboration (e.g., Akshaya Patra + Pratham on child nutrition-education linkage) could be explored given overlapping child-focused beneficiary bases.</t>
  </si>
  <si>
    <t xml:space="preserve">10. EXECUTIVE SUMMARY</t>
  </si>
  <si>
    <t xml:space="preserve">This analysis profiles 10 leading NGOs operating in India across education, child rights, elderly welfare, women's empowerment, environment, nutrition, disaster relief and philanthropic intermediation. Collectively, these organisations were founded between 1946 and 2002, are headquartered predominantly in Delhi-NCR, Mumbai and Bengaluru, and together reach tens of millions of beneficiaries annually. The dataset demonstrates a mature, diversified Indian non-profit sector with strong founder-led legacies and increasing formalisation via governance boards, CEOs and verifiable public reporting.</t>
  </si>
  <si>
    <t xml:space="preserve">NGO RESEARCH — EXECUTIVE DASHBOARD</t>
  </si>
  <si>
    <t xml:space="preserve">10 Leading NGOs Operating in India | Data Analytics Internship Submission | July 2026</t>
  </si>
  <si>
    <t xml:space="preserve">TOTAL NGOs
RESEARCHED</t>
  </si>
  <si>
    <t xml:space="preserve">UNIQUE HQ
STATES</t>
  </si>
  <si>
    <t xml:space="preserve">FOCUS AREAS
TRACKED</t>
  </si>
  <si>
    <t xml:space="preserve">ORGANIZATION
CATEGORIES</t>
  </si>
  <si>
    <t xml:space="preserve">DATA DICTIONARY — NGO RESEARCH DATABASE</t>
  </si>
  <si>
    <t xml:space="preserve">Column Name</t>
  </si>
  <si>
    <t xml:space="preserve">Meaning</t>
  </si>
  <si>
    <t xml:space="preserve">Data Type</t>
  </si>
  <si>
    <t xml:space="preserve">Source</t>
  </si>
  <si>
    <t xml:space="preserve">Sequential row identifier for each NGO record.</t>
  </si>
  <si>
    <t xml:space="preserve">Integer</t>
  </si>
  <si>
    <t xml:space="preserve">Internal / Assigned</t>
  </si>
  <si>
    <t xml:space="preserve">Official registered/brand name of the organization.</t>
  </si>
  <si>
    <t xml:space="preserve">Text</t>
  </si>
  <si>
    <t xml:space="preserve">Primary official URL of the NGO (hyperlinked).</t>
  </si>
  <si>
    <t xml:space="preserve">URL (Text)</t>
  </si>
  <si>
    <t xml:space="preserve">City where the NGO's head/registered office is located.</t>
  </si>
  <si>
    <t xml:space="preserve">Official Website / Wikipedia</t>
  </si>
  <si>
    <t xml:space="preserve">Indian state in which the headquarters is located.</t>
  </si>
  <si>
    <t xml:space="preserve">Country of registration/operation (India for all records).</t>
  </si>
  <si>
    <t xml:space="preserve">Calendar year the organization was established/registered.</t>
  </si>
  <si>
    <t xml:space="preserve">Integer (Year)</t>
  </si>
  <si>
    <t xml:space="preserve">Individual(s) credited with founding the organization.</t>
  </si>
  <si>
    <t xml:space="preserve">Name and title of the current chief executive or chairperson, where publicly available.</t>
  </si>
  <si>
    <t xml:space="preserve">Official Website / LinkedIn</t>
  </si>
  <si>
    <t xml:space="preserve">Legal/structural classification (Trust, Society, Sec.8 Company, etc.).</t>
  </si>
  <si>
    <t xml:space="preserve">Text (Category)</t>
  </si>
  <si>
    <t xml:space="preserve">Official Website / Registrar records</t>
  </si>
  <si>
    <t xml:space="preserve">Primary thematic sector(s) the NGO operates in.</t>
  </si>
  <si>
    <t xml:space="preserve">Official mission statement, as published by the organization.</t>
  </si>
  <si>
    <t xml:space="preserve">Text (Long)</t>
  </si>
  <si>
    <t xml:space="preserve">Official vision statement, where publicly available.</t>
  </si>
  <si>
    <t xml:space="preserve">Flagship, large-scale programs run by the NGO.</t>
  </si>
  <si>
    <t xml:space="preserve">Text (List)</t>
  </si>
  <si>
    <t xml:space="preserve">Notable campaigns or time-bound initiatives.</t>
  </si>
  <si>
    <t xml:space="preserve">Official Website / News</t>
  </si>
  <si>
    <t xml:space="preserve">Primary population(s) served by the NGO's work.</t>
  </si>
  <si>
    <t xml:space="preserve">Approximate number/list of Indian states where the NGO operates.</t>
  </si>
  <si>
    <t xml:space="preserve">United Nations Sustainable Development Goals the NGO's work aligns with.</t>
  </si>
  <si>
    <t xml:space="preserve">Official Website (where disclosed)</t>
  </si>
  <si>
    <t xml:space="preserve">Notable national/international awards received.</t>
  </si>
  <si>
    <t xml:space="preserve">Official Website / News / Wikipedia</t>
  </si>
  <si>
    <t xml:space="preserve">Approximate number of beneficiaries reached per year or cumulatively (as disclosed).</t>
  </si>
  <si>
    <t xml:space="preserve">Text (Numeric + Text)</t>
  </si>
  <si>
    <t xml:space="preserve">Official Website / Annual Reports</t>
  </si>
  <si>
    <t xml:space="preserve">Publicly listed contact email address, where available.</t>
  </si>
  <si>
    <t xml:space="preserve">Text (Email)</t>
  </si>
  <si>
    <t xml:space="preserve">Publicly listed contact phone number, where available.</t>
  </si>
  <si>
    <t xml:space="preserve">Text (Phone)</t>
  </si>
  <si>
    <t xml:space="preserve">Official LinkedIn company page URL, where available.</t>
  </si>
  <si>
    <t xml:space="preserve">LinkedIn</t>
  </si>
  <si>
    <t xml:space="preserve">Official Facebook page URL, where available.</t>
  </si>
  <si>
    <t xml:space="preserve">Official Instagram handle/URL, where available.</t>
  </si>
  <si>
    <t xml:space="preserve">Official Twitter/X handle/URL, where available.</t>
  </si>
  <si>
    <t xml:space="preserve">Specific website(s)/pages used to compile this record.</t>
  </si>
  <si>
    <t xml:space="preserve">Compiled by Researcher</t>
  </si>
  <si>
    <t xml:space="preserve">Month/Year this record was last verified.</t>
  </si>
  <si>
    <t xml:space="preserve">Text (Date)</t>
  </si>
  <si>
    <t xml:space="preserve">Additional notable facts or context about the NGO.</t>
  </si>
  <si>
    <t xml:space="preserve">ABOUT THE AUTHOR</t>
  </si>
  <si>
    <t xml:space="preserve">Name</t>
  </si>
  <si>
    <t xml:space="preserve">Mohd Azeem</t>
  </si>
  <si>
    <t xml:space="preserve">College</t>
  </si>
  <si>
    <t xml:space="preserve">Teerthanker Mahaveer University (TMU)</t>
  </si>
  <si>
    <t xml:space="preserve">Mobile</t>
  </si>
  <si>
    <t xml:space="preserve">+91 7088614740</t>
  </si>
  <si>
    <t xml:space="preserve">https://www.linkedin.com/in/mohd-azeem-597a55230</t>
  </si>
  <si>
    <t xml:space="preserve">Role</t>
  </si>
  <si>
    <t xml:space="preserve">Data Analytics Intern</t>
  </si>
  <si>
    <t xml:space="preserve">SKILLS DEMONSTRATED</t>
  </si>
  <si>
    <t xml:space="preserve">●</t>
  </si>
  <si>
    <t xml:space="preserve">Business Research</t>
  </si>
  <si>
    <t xml:space="preserve">Data Collection</t>
  </si>
  <si>
    <t xml:space="preserve">Data Cleaning</t>
  </si>
  <si>
    <t xml:space="preserve">Excel (Formulas, Pivot Logic, Conditional Formatting)</t>
  </si>
  <si>
    <t xml:space="preserve">Dashboard Design</t>
  </si>
  <si>
    <t xml:space="preserve">Data Visualization</t>
  </si>
  <si>
    <t xml:space="preserve">Analytical Thinking</t>
  </si>
  <si>
    <t xml:space="preserve">Professional Reporting</t>
  </si>
  <si>
    <t xml:space="preserve">This workbook was researched, compiled, analyzed, and designed by Mohd Azeem as part of a Data Analytics Internship assignment, using verified data from official NGO websites and trusted public sources.</t>
  </si>
</sst>
</file>

<file path=xl/styles.xml><?xml version="1.0" encoding="utf-8"?>
<styleSheet xmlns="http://schemas.openxmlformats.org/spreadsheetml/2006/main">
  <numFmts count="3">
    <numFmt numFmtId="164" formatCode="General"/>
    <numFmt numFmtId="165" formatCode="General"/>
    <numFmt numFmtId="166" formatCode="0.0"/>
  </numFmts>
  <fonts count="32">
    <font>
      <sz val="11"/>
      <color theme="1"/>
      <name val="Calibri"/>
      <family val="2"/>
      <charset val="1"/>
    </font>
    <font>
      <sz val="10"/>
      <name val="Arial"/>
      <family val="0"/>
    </font>
    <font>
      <sz val="10"/>
      <name val="Arial"/>
      <family val="0"/>
    </font>
    <font>
      <sz val="10"/>
      <name val="Arial"/>
      <family val="0"/>
    </font>
    <font>
      <b val="true"/>
      <sz val="16"/>
      <color rgb="FFFFFFFF"/>
      <name val="Calibri"/>
      <family val="0"/>
      <charset val="1"/>
    </font>
    <font>
      <i val="true"/>
      <sz val="10"/>
      <color rgb="FF404040"/>
      <name val="Calibri"/>
      <family val="0"/>
      <charset val="1"/>
    </font>
    <font>
      <b val="true"/>
      <sz val="11"/>
      <color rgb="FFFFFFFF"/>
      <name val="Calibri"/>
      <family val="0"/>
      <charset val="1"/>
    </font>
    <font>
      <sz val="10"/>
      <color rgb="FF404040"/>
      <name val="Calibri"/>
      <family val="0"/>
      <charset val="1"/>
    </font>
    <font>
      <u val="single"/>
      <sz val="10"/>
      <color rgb="FF0563C1"/>
      <name val="Calibri"/>
      <family val="0"/>
      <charset val="1"/>
    </font>
    <font>
      <b val="true"/>
      <sz val="12"/>
      <color rgb="FFFFFFFF"/>
      <name val="Calibri"/>
      <family val="0"/>
      <charset val="1"/>
    </font>
    <font>
      <b val="true"/>
      <sz val="11"/>
      <name val="Calibri"/>
      <family val="0"/>
      <charset val="1"/>
    </font>
    <font>
      <b val="true"/>
      <sz val="12"/>
      <color rgb="FF1F3864"/>
      <name val="Calibri"/>
      <family val="0"/>
      <charset val="1"/>
    </font>
    <font>
      <b val="true"/>
      <sz val="11"/>
      <name val="Cambria"/>
      <family val="0"/>
      <charset val="1"/>
    </font>
    <font>
      <sz val="10"/>
      <name val="Calibri"/>
      <family val="0"/>
      <charset val="1"/>
    </font>
    <font>
      <sz val="10.5"/>
      <name val="Calibri"/>
      <family val="0"/>
      <charset val="1"/>
    </font>
    <font>
      <b val="true"/>
      <sz val="20"/>
      <color rgb="FFFFFFFF"/>
      <name val="Calibri"/>
      <family val="0"/>
      <charset val="1"/>
    </font>
    <font>
      <i val="true"/>
      <sz val="11"/>
      <color rgb="FF404040"/>
      <name val="Calibri"/>
      <family val="0"/>
      <charset val="1"/>
    </font>
    <font>
      <b val="true"/>
      <sz val="10"/>
      <color rgb="FFFFFFFF"/>
      <name val="Calibri"/>
      <family val="0"/>
      <charset val="1"/>
    </font>
    <font>
      <b val="true"/>
      <sz val="26"/>
      <color rgb="FFED7D31"/>
      <name val="Calibri"/>
      <family val="0"/>
      <charset val="1"/>
    </font>
    <font>
      <b val="true"/>
      <sz val="26"/>
      <color rgb="FF70AD47"/>
      <name val="Calibri"/>
      <family val="0"/>
      <charset val="1"/>
    </font>
    <font>
      <b val="true"/>
      <sz val="26"/>
      <color rgb="FFBF9000"/>
      <name val="Calibri"/>
      <family val="0"/>
      <charset val="1"/>
    </font>
    <font>
      <b val="true"/>
      <sz val="26"/>
      <color rgb="FF2E5395"/>
      <name val="Calibri"/>
      <family val="0"/>
      <charset val="1"/>
    </font>
    <font>
      <b val="true"/>
      <sz val="18"/>
      <color rgb="FF000000"/>
      <name val="Calibri"/>
      <family val="2"/>
    </font>
    <font>
      <sz val="10"/>
      <color rgb="FF000000"/>
      <name val="Calibri"/>
      <family val="2"/>
    </font>
    <font>
      <b val="true"/>
      <sz val="10"/>
      <color rgb="FF000000"/>
      <name val="Calibri"/>
      <family val="2"/>
    </font>
    <font>
      <b val="true"/>
      <sz val="10"/>
      <name val="Calibri"/>
      <family val="0"/>
      <charset val="1"/>
    </font>
    <font>
      <b val="true"/>
      <sz val="11"/>
      <color rgb="FF1F3864"/>
      <name val="Calibri"/>
      <family val="0"/>
      <charset val="1"/>
    </font>
    <font>
      <sz val="11"/>
      <color rgb="FF404040"/>
      <name val="Calibri"/>
      <family val="0"/>
      <charset val="1"/>
    </font>
    <font>
      <u val="single"/>
      <sz val="11"/>
      <color rgb="FF0563C1"/>
      <name val="Calibri"/>
      <family val="0"/>
      <charset val="1"/>
    </font>
    <font>
      <sz val="10"/>
      <color rgb="FFED7D31"/>
      <name val="Calibri"/>
      <family val="0"/>
      <charset val="1"/>
    </font>
    <font>
      <sz val="10.5"/>
      <color rgb="FF404040"/>
      <name val="Calibri"/>
      <family val="0"/>
      <charset val="1"/>
    </font>
    <font>
      <i val="true"/>
      <sz val="9.5"/>
      <color rgb="FF404040"/>
      <name val="Calibri"/>
      <family val="0"/>
      <charset val="1"/>
    </font>
  </fonts>
  <fills count="10">
    <fill>
      <patternFill patternType="none"/>
    </fill>
    <fill>
      <patternFill patternType="gray125"/>
    </fill>
    <fill>
      <patternFill patternType="solid">
        <fgColor rgb="FF1F3864"/>
        <bgColor rgb="FF404040"/>
      </patternFill>
    </fill>
    <fill>
      <patternFill patternType="solid">
        <fgColor rgb="FFD9E2F3"/>
        <bgColor rgb="FFD9D9D9"/>
      </patternFill>
    </fill>
    <fill>
      <patternFill patternType="solid">
        <fgColor rgb="FFF2F5FB"/>
        <bgColor rgb="FFF9F9F9"/>
      </patternFill>
    </fill>
    <fill>
      <patternFill patternType="solid">
        <fgColor rgb="FF2E5395"/>
        <bgColor rgb="FF1F3864"/>
      </patternFill>
    </fill>
    <fill>
      <patternFill patternType="solid">
        <fgColor rgb="FFED7D31"/>
        <bgColor rgb="FFDC853E"/>
      </patternFill>
    </fill>
    <fill>
      <patternFill patternType="solid">
        <fgColor rgb="FF70AD47"/>
        <bgColor rgb="FF8AA64F"/>
      </patternFill>
    </fill>
    <fill>
      <patternFill patternType="solid">
        <fgColor rgb="FFBF9000"/>
        <bgColor rgb="FFDC853E"/>
      </patternFill>
    </fill>
    <fill>
      <patternFill patternType="solid">
        <fgColor rgb="FFFFFFFF"/>
        <bgColor rgb="FFF9F9F9"/>
      </patternFill>
    </fill>
  </fills>
  <borders count="7">
    <border diagonalUp="false" diagonalDown="false">
      <left/>
      <right/>
      <top/>
      <bottom/>
      <diagonal/>
    </border>
    <border diagonalUp="false" diagonalDown="false">
      <left/>
      <right/>
      <top/>
      <bottom style="thin">
        <color rgb="FFFFFFFF"/>
      </bottom>
      <diagonal/>
    </border>
    <border diagonalUp="false" diagonalDown="false">
      <left style="thin">
        <color rgb="FFC9C9C9"/>
      </left>
      <right style="thin">
        <color rgb="FFC9C9C9"/>
      </right>
      <top style="thin">
        <color rgb="FFC9C9C9"/>
      </top>
      <bottom style="thin">
        <color rgb="FFC9C9C9"/>
      </bottom>
      <diagonal/>
    </border>
    <border diagonalUp="false" diagonalDown="false">
      <left style="medium">
        <color rgb="FFED7D31"/>
      </left>
      <right style="medium">
        <color rgb="FFED7D31"/>
      </right>
      <top style="medium">
        <color rgb="FFED7D31"/>
      </top>
      <bottom style="medium">
        <color rgb="FFED7D31"/>
      </bottom>
      <diagonal/>
    </border>
    <border diagonalUp="false" diagonalDown="false">
      <left style="medium">
        <color rgb="FF70AD47"/>
      </left>
      <right style="medium">
        <color rgb="FF70AD47"/>
      </right>
      <top style="medium">
        <color rgb="FF70AD47"/>
      </top>
      <bottom style="medium">
        <color rgb="FF70AD47"/>
      </bottom>
      <diagonal/>
    </border>
    <border diagonalUp="false" diagonalDown="false">
      <left style="medium">
        <color rgb="FFBF9000"/>
      </left>
      <right style="medium">
        <color rgb="FFBF9000"/>
      </right>
      <top style="medium">
        <color rgb="FFBF9000"/>
      </top>
      <bottom style="medium">
        <color rgb="FFBF9000"/>
      </bottom>
      <diagonal/>
    </border>
    <border diagonalUp="false" diagonalDown="false">
      <left style="medium">
        <color rgb="FF2E5395"/>
      </left>
      <right style="medium">
        <color rgb="FF2E5395"/>
      </right>
      <top style="medium">
        <color rgb="FF2E5395"/>
      </top>
      <bottom style="medium">
        <color rgb="FF2E539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2" xfId="0" applyFont="true" applyBorder="true" applyAlignment="true" applyProtection="false">
      <alignment horizontal="center" vertical="center" textRotation="0" wrapText="false" indent="0" shrinkToFit="false"/>
      <protection locked="true" hidden="false"/>
    </xf>
    <xf numFmtId="164" fontId="7" fillId="0" borderId="2" xfId="0" applyFont="true" applyBorder="true" applyAlignment="true" applyProtection="false">
      <alignment horizontal="left" vertical="center" textRotation="0" wrapText="true" indent="0" shrinkToFit="false"/>
      <protection locked="true" hidden="false"/>
    </xf>
    <xf numFmtId="164" fontId="8" fillId="0" borderId="2" xfId="0" applyFont="true" applyBorder="true" applyAlignment="true" applyProtection="false">
      <alignment horizontal="left" vertical="center" textRotation="0" wrapText="true" indent="0" shrinkToFit="false"/>
      <protection locked="true" hidden="false"/>
    </xf>
    <xf numFmtId="164" fontId="7" fillId="4" borderId="2" xfId="0" applyFont="true" applyBorder="true" applyAlignment="true" applyProtection="false">
      <alignment horizontal="center" vertical="center" textRotation="0" wrapText="false" indent="0" shrinkToFit="false"/>
      <protection locked="true" hidden="false"/>
    </xf>
    <xf numFmtId="164" fontId="7" fillId="4" borderId="2" xfId="0" applyFont="true" applyBorder="true" applyAlignment="true" applyProtection="false">
      <alignment horizontal="left" vertical="center" textRotation="0" wrapText="true" indent="0" shrinkToFit="false"/>
      <protection locked="true" hidden="false"/>
    </xf>
    <xf numFmtId="164" fontId="8" fillId="4" borderId="2" xfId="0" applyFont="true" applyBorder="true" applyAlignment="true" applyProtection="false">
      <alignment horizontal="left" vertical="center" textRotation="0" wrapText="true" indent="0" shrinkToFit="false"/>
      <protection locked="true" hidden="false"/>
    </xf>
    <xf numFmtId="164" fontId="9" fillId="5" borderId="0"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center" textRotation="0" wrapText="tru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4" fontId="15" fillId="2" borderId="0" xfId="0" applyFont="true" applyBorder="true" applyAlignment="true" applyProtection="false">
      <alignment horizontal="center" vertical="center" textRotation="0" wrapText="false" indent="0" shrinkToFit="false"/>
      <protection locked="true" hidden="false"/>
    </xf>
    <xf numFmtId="164" fontId="16" fillId="3" borderId="0" xfId="0" applyFont="true" applyBorder="true" applyAlignment="true" applyProtection="false">
      <alignment horizontal="center" vertical="center" textRotation="0" wrapText="false" indent="0" shrinkToFit="false"/>
      <protection locked="true" hidden="false"/>
    </xf>
    <xf numFmtId="164" fontId="17" fillId="6" borderId="3" xfId="0" applyFont="true" applyBorder="true" applyAlignment="true" applyProtection="false">
      <alignment horizontal="center" vertical="center" textRotation="0" wrapText="true" indent="0" shrinkToFit="false"/>
      <protection locked="true" hidden="false"/>
    </xf>
    <xf numFmtId="164" fontId="17" fillId="7" borderId="4" xfId="0" applyFont="true" applyBorder="true" applyAlignment="true" applyProtection="false">
      <alignment horizontal="center" vertical="center" textRotation="0" wrapText="true" indent="0" shrinkToFit="false"/>
      <protection locked="true" hidden="false"/>
    </xf>
    <xf numFmtId="164" fontId="17" fillId="8" borderId="5" xfId="0" applyFont="true" applyBorder="true" applyAlignment="true" applyProtection="false">
      <alignment horizontal="center" vertical="center" textRotation="0" wrapText="true" indent="0" shrinkToFit="false"/>
      <protection locked="true" hidden="false"/>
    </xf>
    <xf numFmtId="164" fontId="17" fillId="5" borderId="6" xfId="0" applyFont="true" applyBorder="true" applyAlignment="true" applyProtection="false">
      <alignment horizontal="center" vertical="center" textRotation="0" wrapText="true" indent="0" shrinkToFit="false"/>
      <protection locked="true" hidden="false"/>
    </xf>
    <xf numFmtId="165" fontId="18" fillId="9" borderId="3" xfId="0" applyFont="true" applyBorder="true" applyAlignment="true" applyProtection="false">
      <alignment horizontal="center" vertical="center" textRotation="0" wrapText="false" indent="0" shrinkToFit="false"/>
      <protection locked="true" hidden="false"/>
    </xf>
    <xf numFmtId="165" fontId="19" fillId="9" borderId="4" xfId="0" applyFont="true" applyBorder="true" applyAlignment="true" applyProtection="false">
      <alignment horizontal="center" vertical="center" textRotation="0" wrapText="false" indent="0" shrinkToFit="false"/>
      <protection locked="true" hidden="false"/>
    </xf>
    <xf numFmtId="165" fontId="20" fillId="9" borderId="5" xfId="0" applyFont="true" applyBorder="true" applyAlignment="true" applyProtection="false">
      <alignment horizontal="center" vertical="center" textRotation="0" wrapText="false" indent="0" shrinkToFit="false"/>
      <protection locked="true" hidden="false"/>
    </xf>
    <xf numFmtId="165" fontId="21" fillId="9" borderId="6" xfId="0" applyFont="true" applyBorder="true" applyAlignment="true" applyProtection="false">
      <alignment horizontal="center" vertical="center" textRotation="0" wrapText="false" indent="0" shrinkToFit="false"/>
      <protection locked="true" hidden="false"/>
    </xf>
    <xf numFmtId="164" fontId="25" fillId="0" borderId="2" xfId="0" applyFont="true" applyBorder="true" applyAlignment="true" applyProtection="false">
      <alignment horizontal="general" vertical="center" textRotation="0" wrapText="true" indent="0" shrinkToFit="false"/>
      <protection locked="true" hidden="false"/>
    </xf>
    <xf numFmtId="164" fontId="13" fillId="0" borderId="2" xfId="0" applyFont="true" applyBorder="true" applyAlignment="true" applyProtection="false">
      <alignment horizontal="general" vertical="center" textRotation="0" wrapText="true" indent="0" shrinkToFit="false"/>
      <protection locked="true" hidden="false"/>
    </xf>
    <xf numFmtId="164" fontId="25" fillId="4" borderId="2" xfId="0" applyFont="true" applyBorder="true" applyAlignment="true" applyProtection="false">
      <alignment horizontal="general" vertical="center" textRotation="0" wrapText="true" indent="0" shrinkToFit="false"/>
      <protection locked="true" hidden="false"/>
    </xf>
    <xf numFmtId="164" fontId="13" fillId="4" borderId="2" xfId="0" applyFont="true" applyBorder="true" applyAlignment="true" applyProtection="false">
      <alignment horizontal="general" vertical="center" textRotation="0" wrapText="true" indent="0" shrinkToFit="false"/>
      <protection locked="true" hidden="false"/>
    </xf>
    <xf numFmtId="164" fontId="26" fillId="3" borderId="2" xfId="0" applyFont="true" applyBorder="true" applyAlignment="true" applyProtection="false">
      <alignment horizontal="general" vertical="center" textRotation="0" wrapText="false" indent="0" shrinkToFit="false"/>
      <protection locked="true" hidden="false"/>
    </xf>
    <xf numFmtId="164" fontId="27" fillId="0" borderId="2" xfId="0" applyFont="true" applyBorder="true" applyAlignment="true" applyProtection="false">
      <alignment horizontal="general" vertical="center" textRotation="0" wrapText="false" indent="0" shrinkToFit="false"/>
      <protection locked="true" hidden="false"/>
    </xf>
    <xf numFmtId="164" fontId="28" fillId="0" borderId="2" xfId="0" applyFont="true" applyBorder="true" applyAlignment="true" applyProtection="false">
      <alignment horizontal="general" vertical="center" textRotation="0" wrapText="false" indent="0" shrinkToFit="false"/>
      <protection locked="true" hidden="false"/>
    </xf>
    <xf numFmtId="164" fontId="29" fillId="0" borderId="0" xfId="0" applyFont="true" applyBorder="false" applyAlignment="true" applyProtection="false">
      <alignment horizontal="center" vertical="center" textRotation="0" wrapText="false" indent="0" shrinkToFit="false"/>
      <protection locked="true" hidden="false"/>
    </xf>
    <xf numFmtId="164" fontId="30" fillId="0" borderId="0" xfId="0" applyFont="true" applyBorder="false" applyAlignment="true" applyProtection="false">
      <alignment horizontal="general" vertical="center" textRotation="0" wrapText="false" indent="0" shrinkToFit="false"/>
      <protection locked="true" hidden="false"/>
    </xf>
    <xf numFmtId="164" fontId="29" fillId="4" borderId="0" xfId="0" applyFont="true" applyBorder="false" applyAlignment="true" applyProtection="false">
      <alignment horizontal="center" vertical="center" textRotation="0" wrapText="false" indent="0" shrinkToFit="false"/>
      <protection locked="true" hidden="false"/>
    </xf>
    <xf numFmtId="164" fontId="30" fillId="4" borderId="0" xfId="0" applyFont="true" applyBorder="false" applyAlignment="true" applyProtection="false">
      <alignment horizontal="general" vertical="center" textRotation="0" wrapText="false" indent="0" shrinkToFit="false"/>
      <protection locked="true" hidden="false"/>
    </xf>
    <xf numFmtId="164" fontId="31"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fgColor rgb="FF1F3864"/>
          <bgColor rgb="FF000000"/>
        </patternFill>
      </fill>
    </dxf>
    <dxf>
      <fill>
        <patternFill patternType="solid">
          <fgColor rgb="FFF2F5FB"/>
          <bgColor rgb="FF000000"/>
        </patternFill>
      </fill>
    </dxf>
    <dxf>
      <fill>
        <patternFill patternType="solid">
          <bgColor rgb="FF000000"/>
        </patternFill>
      </fill>
    </dxf>
    <dxf>
      <fill>
        <patternFill patternType="solid">
          <fgColor rgb="FF404040"/>
          <bgColor rgb="FF000000"/>
        </patternFill>
      </fill>
    </dxf>
    <dxf>
      <fill>
        <patternFill patternType="solid">
          <fgColor rgb="FFFFFFFF"/>
          <bgColor rgb="FF000000"/>
        </patternFill>
      </fill>
    </dxf>
    <dxf>
      <fill>
        <patternFill patternType="solid">
          <fgColor rgb="FF0563C1"/>
          <bgColor rgb="FF000000"/>
        </patternFill>
      </fill>
    </dxf>
    <dxf>
      <fill>
        <patternFill patternType="solid">
          <fgColor rgb="FF63BE7B"/>
          <bgColor rgb="FF000000"/>
        </patternFill>
      </fill>
    </dxf>
    <dxf>
      <fill>
        <patternFill patternType="solid">
          <fgColor rgb="FFA09C75"/>
          <bgColor rgb="FF000000"/>
        </patternFill>
      </fill>
    </dxf>
    <dxf>
      <fill>
        <patternFill patternType="solid">
          <fgColor rgb="FFA89774"/>
          <bgColor rgb="FF000000"/>
        </patternFill>
      </fill>
    </dxf>
    <dxf>
      <fill>
        <patternFill patternType="solid">
          <fgColor rgb="FFB88E72"/>
          <bgColor rgb="FF000000"/>
        </patternFill>
      </fill>
    </dxf>
    <dxf>
      <fill>
        <patternFill patternType="solid">
          <fgColor rgb="FFBA8C72"/>
          <bgColor rgb="FF000000"/>
        </patternFill>
      </fill>
    </dxf>
    <dxf>
      <fill>
        <patternFill patternType="solid">
          <fgColor rgb="FFE5746D"/>
          <bgColor rgb="FF000000"/>
        </patternFill>
      </fill>
    </dxf>
    <dxf>
      <fill>
        <patternFill patternType="solid">
          <fgColor rgb="FFF06E6C"/>
          <bgColor rgb="FF000000"/>
        </patternFill>
      </fill>
    </dxf>
    <dxf>
      <fill>
        <patternFill patternType="solid">
          <fgColor rgb="FFF26D6C"/>
          <bgColor rgb="FF000000"/>
        </patternFill>
      </fill>
    </dxf>
    <dxf>
      <fill>
        <patternFill patternType="solid">
          <fgColor rgb="FFF8696B"/>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0AD47"/>
      <rgbColor rgb="FF800080"/>
      <rgbColor rgb="FF4672A8"/>
      <rgbColor rgb="FFC9C9C9"/>
      <rgbColor rgb="FF878787"/>
      <rgbColor rgb="FF93A9CE"/>
      <rgbColor rgb="FFAB4744"/>
      <rgbColor rgb="FFF9F9F9"/>
      <rgbColor rgb="FFF2F5FB"/>
      <rgbColor rgb="FF660066"/>
      <rgbColor rgb="FFDC853E"/>
      <rgbColor rgb="FF0563C1"/>
      <rgbColor rgb="FFD9D9D9"/>
      <rgbColor rgb="FF000080"/>
      <rgbColor rgb="FFFF00FF"/>
      <rgbColor rgb="FFFFFF00"/>
      <rgbColor rgb="FF00FFFF"/>
      <rgbColor rgb="FF800080"/>
      <rgbColor rgb="FF800000"/>
      <rgbColor rgb="FF4F81BD"/>
      <rgbColor rgb="FF0000FF"/>
      <rgbColor rgb="FF00CCFF"/>
      <rgbColor rgb="FFD9E2F3"/>
      <rgbColor rgb="FFCCFFCC"/>
      <rgbColor rgb="FFFFFF99"/>
      <rgbColor rgb="FF99CCFF"/>
      <rgbColor rgb="FFD09493"/>
      <rgbColor rgb="FF8064A2"/>
      <rgbColor rgb="FFFFCC99"/>
      <rgbColor rgb="FF4A7EBB"/>
      <rgbColor rgb="FF4BACC6"/>
      <rgbColor rgb="FF9BBB59"/>
      <rgbColor rgb="FFFFCC00"/>
      <rgbColor rgb="FFBF9000"/>
      <rgbColor rgb="FFED7D31"/>
      <rgbColor rgb="FF725990"/>
      <rgbColor rgb="FF8AA64F"/>
      <rgbColor rgb="FF1F3864"/>
      <rgbColor rgb="FF4299B0"/>
      <rgbColor rgb="FF003300"/>
      <rgbColor rgb="FF333300"/>
      <rgbColor rgb="FF993300"/>
      <rgbColor rgb="FFC0504D"/>
      <rgbColor rgb="FF2E5395"/>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Organization Type Distribution</a:t>
            </a:r>
          </a:p>
        </c:rich>
      </c:tx>
      <c:overlay val="0"/>
      <c:spPr>
        <a:noFill/>
        <a:ln w="0">
          <a:noFill/>
        </a:ln>
      </c:spPr>
    </c:title>
    <c:autoTitleDeleted val="0"/>
    <c:plotArea>
      <c:pieChart>
        <c:varyColors val="1"/>
        <c:ser>
          <c:idx val="0"/>
          <c:order val="0"/>
          <c:tx>
            <c:strRef>
              <c:f>'Data Analysis'!B7</c:f>
              <c:strCache>
                <c:ptCount val="1"/>
                <c:pt idx="0">
                  <c:v>Count</c:v>
                </c:pt>
              </c:strCache>
            </c:strRef>
          </c:tx>
          <c:spPr>
            <a:solidFill>
              <a:srgbClr val="4f81bd"/>
            </a:solidFill>
            <a:ln w="0">
              <a:noFill/>
            </a:ln>
          </c:spPr>
          <c:explosion val="0"/>
          <c:dPt>
            <c:idx val="0"/>
            <c:spPr>
              <a:solidFill>
                <a:srgbClr val="4672a8"/>
              </a:solidFill>
              <a:ln w="0">
                <a:noFill/>
              </a:ln>
            </c:spPr>
          </c:dPt>
          <c:dPt>
            <c:idx val="1"/>
            <c:spPr>
              <a:solidFill>
                <a:srgbClr val="ab4744"/>
              </a:solidFill>
              <a:ln w="0">
                <a:noFill/>
              </a:ln>
            </c:spPr>
          </c:dPt>
          <c:dPt>
            <c:idx val="2"/>
            <c:spPr>
              <a:solidFill>
                <a:srgbClr val="8aa64f"/>
              </a:solidFill>
              <a:ln w="0">
                <a:noFill/>
              </a:ln>
            </c:spPr>
          </c:dPt>
          <c:dPt>
            <c:idx val="3"/>
            <c:spPr>
              <a:solidFill>
                <a:srgbClr val="725990"/>
              </a:solidFill>
              <a:ln w="0">
                <a:noFill/>
              </a:ln>
            </c:spPr>
          </c:dPt>
          <c:dPt>
            <c:idx val="4"/>
            <c:spPr>
              <a:solidFill>
                <a:srgbClr val="4299b0"/>
              </a:solidFill>
              <a:ln w="0">
                <a:noFill/>
              </a:ln>
            </c:spPr>
          </c:dPt>
          <c:dPt>
            <c:idx val="5"/>
            <c:spPr>
              <a:solidFill>
                <a:srgbClr val="dc853e"/>
              </a:solidFill>
              <a:ln w="0">
                <a:noFill/>
              </a:ln>
            </c:spPr>
          </c:dPt>
          <c:dPt>
            <c:idx val="6"/>
            <c:spPr>
              <a:solidFill>
                <a:srgbClr val="93a9ce"/>
              </a:solidFill>
              <a:ln w="0">
                <a:noFill/>
              </a:ln>
            </c:spPr>
          </c:dPt>
          <c:dPt>
            <c:idx val="7"/>
            <c:spPr>
              <a:solidFill>
                <a:srgbClr val="d09493"/>
              </a:solidFill>
              <a:ln w="0">
                <a:noFill/>
              </a:ln>
            </c:spPr>
          </c:dPt>
          <c:dLbls>
            <c:dLbl>
              <c:idx val="0"/>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2"/>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3"/>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4"/>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5"/>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6"/>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7"/>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showLeaderLines val="1"/>
          </c:dLbls>
          <c:cat>
            <c:strRef>
              <c:f>'Data Analysis'!$A$8:$A$15</c:f>
              <c:strCache>
                <c:ptCount val="8"/>
                <c:pt idx="0">
                  <c:v>Registered Trust</c:v>
                </c:pt>
                <c:pt idx="1">
                  <c:v>Registered NGO</c:v>
                </c:pt>
                <c:pt idx="2">
                  <c:v>Registered Society</c:v>
                </c:pt>
                <c:pt idx="3">
                  <c:v>International NGO</c:v>
                </c:pt>
                <c:pt idx="4">
                  <c:v>Charitable Trust</c:v>
                </c:pt>
                <c:pt idx="5">
                  <c:v>Charitable Public Trust</c:v>
                </c:pt>
                <c:pt idx="6">
                  <c:v>Not-for-Profit Company</c:v>
                </c:pt>
                <c:pt idx="7">
                  <c:v>Registered Trade Union</c:v>
                </c:pt>
              </c:strCache>
            </c:strRef>
          </c:cat>
          <c:val>
            <c:numRef>
              <c:f>'Data Analysis'!$B$8:$B$15</c:f>
              <c:numCache>
                <c:formatCode>General</c:formatCode>
                <c:ptCount val="8"/>
                <c:pt idx="0">
                  <c:v>2</c:v>
                </c:pt>
                <c:pt idx="1">
                  <c:v>1</c:v>
                </c:pt>
                <c:pt idx="2">
                  <c:v>2</c:v>
                </c:pt>
                <c:pt idx="3">
                  <c:v>1</c:v>
                </c:pt>
                <c:pt idx="4">
                  <c:v>1</c:v>
                </c:pt>
                <c:pt idx="5">
                  <c:v>1</c:v>
                </c:pt>
                <c:pt idx="6">
                  <c:v>1</c:v>
                </c:pt>
                <c:pt idx="7">
                  <c:v>1</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Focus Area Distribution (Number of NGOs)</a:t>
            </a:r>
          </a:p>
        </c:rich>
      </c:tx>
      <c:overlay val="0"/>
      <c:spPr>
        <a:noFill/>
        <a:ln w="0">
          <a:noFill/>
        </a:ln>
      </c:spPr>
    </c:title>
    <c:autoTitleDeleted val="0"/>
    <c:plotArea>
      <c:barChart>
        <c:barDir val="col"/>
        <c:grouping val="clustered"/>
        <c:varyColors val="0"/>
        <c:ser>
          <c:idx val="0"/>
          <c:order val="0"/>
          <c:tx>
            <c:strRef>
              <c:f>'Data Analysis'!B38</c:f>
              <c:strCache>
                <c:ptCount val="1"/>
                <c:pt idx="0">
                  <c:v>NGOs Working In Area</c:v>
                </c:pt>
              </c:strCache>
            </c:strRef>
          </c:tx>
          <c:spPr>
            <a:solidFill>
              <a:srgbClr val="2e5395"/>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'Data Analysis'!$A$39:$A$50</c:f>
              <c:strCache>
                <c:ptCount val="12"/>
                <c:pt idx="0">
                  <c:v>Education</c:v>
                </c:pt>
                <c:pt idx="1">
                  <c:v>Healthcare</c:v>
                </c:pt>
                <c:pt idx="2">
                  <c:v>Health</c:v>
                </c:pt>
                <c:pt idx="3">
                  <c:v>Livelihood</c:v>
                </c:pt>
                <c:pt idx="4">
                  <c:v>Women Empowerment</c:v>
                </c:pt>
                <c:pt idx="5">
                  <c:v>Child Rights</c:v>
                </c:pt>
                <c:pt idx="6">
                  <c:v>Elderly Welfare</c:v>
                </c:pt>
                <c:pt idx="7">
                  <c:v>Environmental Conservation</c:v>
                </c:pt>
                <c:pt idx="8">
                  <c:v>Disaster Relief</c:v>
                </c:pt>
                <c:pt idx="9">
                  <c:v>Rural Development</c:v>
                </c:pt>
                <c:pt idx="10">
                  <c:v>Nutrition</c:v>
                </c:pt>
                <c:pt idx="11">
                  <c:v>Poverty Alleviation</c:v>
                </c:pt>
              </c:strCache>
            </c:strRef>
          </c:cat>
          <c:val>
            <c:numRef>
              <c:f>'Data Analysis'!$B$39:$B$50</c:f>
              <c:numCache>
                <c:formatCode>General</c:formatCode>
                <c:ptCount val="12"/>
                <c:pt idx="0">
                  <c:v>5</c:v>
                </c:pt>
                <c:pt idx="1">
                  <c:v>2</c:v>
                </c:pt>
                <c:pt idx="2">
                  <c:v>4</c:v>
                </c:pt>
                <c:pt idx="3">
                  <c:v>3</c:v>
                </c:pt>
                <c:pt idx="4">
                  <c:v>1</c:v>
                </c:pt>
                <c:pt idx="5">
                  <c:v>1</c:v>
                </c:pt>
                <c:pt idx="6">
                  <c:v>1</c:v>
                </c:pt>
                <c:pt idx="7">
                  <c:v>0</c:v>
                </c:pt>
                <c:pt idx="8">
                  <c:v>1</c:v>
                </c:pt>
                <c:pt idx="9">
                  <c:v>1</c:v>
                </c:pt>
                <c:pt idx="10">
                  <c:v>2</c:v>
                </c:pt>
                <c:pt idx="11">
                  <c:v>1</c:v>
                </c:pt>
              </c:numCache>
            </c:numRef>
          </c:val>
        </c:ser>
        <c:gapWidth val="150"/>
        <c:overlap val="0"/>
        <c:axId val="68309924"/>
        <c:axId val="8182496"/>
      </c:barChart>
      <c:catAx>
        <c:axId val="68309924"/>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Focus Area</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182496"/>
        <c:crosses val="autoZero"/>
        <c:auto val="1"/>
        <c:lblAlgn val="ctr"/>
        <c:lblOffset val="100"/>
        <c:noMultiLvlLbl val="0"/>
      </c:catAx>
      <c:valAx>
        <c:axId val="818249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NGO Count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830992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Headquarters — State-wise Distribution</a:t>
            </a:r>
          </a:p>
        </c:rich>
      </c:tx>
      <c:overlay val="0"/>
      <c:spPr>
        <a:noFill/>
        <a:ln w="0">
          <a:noFill/>
        </a:ln>
      </c:spPr>
    </c:title>
    <c:autoTitleDeleted val="0"/>
    <c:plotArea>
      <c:barChart>
        <c:barDir val="col"/>
        <c:grouping val="clustered"/>
        <c:varyColors val="0"/>
        <c:ser>
          <c:idx val="0"/>
          <c:order val="0"/>
          <c:tx>
            <c:strRef>
              <c:f>'Data Analysis'!B18</c:f>
              <c:strCache>
                <c:ptCount val="1"/>
                <c:pt idx="0">
                  <c:v>Count</c:v>
                </c:pt>
              </c:strCache>
            </c:strRef>
          </c:tx>
          <c:spPr>
            <a:solidFill>
              <a:srgbClr val="ed7d31"/>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'Data Analysis'!$A$19:$A$22</c:f>
              <c:strCache>
                <c:ptCount val="4"/>
                <c:pt idx="0">
                  <c:v>Delhi</c:v>
                </c:pt>
                <c:pt idx="1">
                  <c:v>Maharashtra</c:v>
                </c:pt>
                <c:pt idx="2">
                  <c:v>Karnataka</c:v>
                </c:pt>
                <c:pt idx="3">
                  <c:v>Gujarat</c:v>
                </c:pt>
              </c:strCache>
            </c:strRef>
          </c:cat>
          <c:val>
            <c:numRef>
              <c:f>'Data Analysis'!$B$19:$B$22</c:f>
              <c:numCache>
                <c:formatCode>General</c:formatCode>
                <c:ptCount val="4"/>
                <c:pt idx="0">
                  <c:v>5</c:v>
                </c:pt>
                <c:pt idx="1">
                  <c:v>3</c:v>
                </c:pt>
                <c:pt idx="2">
                  <c:v>2</c:v>
                </c:pt>
                <c:pt idx="3">
                  <c:v>1</c:v>
                </c:pt>
              </c:numCache>
            </c:numRef>
          </c:val>
        </c:ser>
        <c:gapWidth val="150"/>
        <c:overlap val="0"/>
        <c:axId val="14707475"/>
        <c:axId val="35616963"/>
      </c:barChart>
      <c:catAx>
        <c:axId val="1470747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5616963"/>
        <c:crosses val="autoZero"/>
        <c:auto val="1"/>
        <c:lblAlgn val="ctr"/>
        <c:lblOffset val="100"/>
        <c:noMultiLvlLbl val="0"/>
      </c:catAx>
      <c:valAx>
        <c:axId val="3561696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NGO Count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470747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NGOs Founded by Decade</a:t>
            </a:r>
          </a:p>
        </c:rich>
      </c:tx>
      <c:overlay val="0"/>
      <c:spPr>
        <a:noFill/>
        <a:ln w="0">
          <a:noFill/>
        </a:ln>
      </c:spPr>
    </c:title>
    <c:autoTitleDeleted val="0"/>
    <c:plotArea>
      <c:doughnutChart>
        <c:varyColors val="1"/>
        <c:ser>
          <c:idx val="0"/>
          <c:order val="0"/>
          <c:tx>
            <c:strRef>
              <c:f>'Data Analysis'!B25</c:f>
              <c:strCache>
                <c:ptCount val="1"/>
                <c:pt idx="0">
                  <c:v>NGOs Founded</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Pt>
            <c:idx val="3"/>
            <c:spPr>
              <a:solidFill>
                <a:srgbClr val="8064a2"/>
              </a:solidFill>
              <a:ln w="0">
                <a:noFill/>
              </a:ln>
            </c:spPr>
          </c:dPt>
          <c:dPt>
            <c:idx val="4"/>
            <c:spPr>
              <a:solidFill>
                <a:srgbClr val="4bacc6"/>
              </a:solidFill>
              <a:ln w="0">
                <a:noFill/>
              </a:ln>
            </c:spPr>
          </c:dPt>
          <c:dLbls>
            <c:dLbl>
              <c:idx val="0"/>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2"/>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3"/>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4"/>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showLegendKey val="1"/>
            <c:showVal val="1"/>
            <c:showCatName val="1"/>
            <c:showSerName val="1"/>
            <c:showPercent val="1"/>
            <c:separator>; </c:separator>
            <c:showLeaderLines val="1"/>
          </c:dLbls>
          <c:cat>
            <c:strRef>
              <c:f>'Data Analysis'!$A$26:$A$30</c:f>
              <c:strCache>
                <c:ptCount val="5"/>
                <c:pt idx="0">
                  <c:v>1940s</c:v>
                </c:pt>
                <c:pt idx="1">
                  <c:v>1960s</c:v>
                </c:pt>
                <c:pt idx="2">
                  <c:v>1970s</c:v>
                </c:pt>
                <c:pt idx="3">
                  <c:v>1990s</c:v>
                </c:pt>
                <c:pt idx="4">
                  <c:v>2000s</c:v>
                </c:pt>
              </c:strCache>
            </c:strRef>
          </c:cat>
          <c:val>
            <c:numRef>
              <c:f>'Data Analysis'!$B$26:$B$30</c:f>
              <c:numCache>
                <c:formatCode>General</c:formatCode>
                <c:ptCount val="5"/>
                <c:pt idx="0">
                  <c:v>1</c:v>
                </c:pt>
                <c:pt idx="1">
                  <c:v>1</c:v>
                </c:pt>
                <c:pt idx="2">
                  <c:v>3</c:v>
                </c:pt>
                <c:pt idx="3">
                  <c:v>2</c:v>
                </c:pt>
                <c:pt idx="4">
                  <c:v>3</c:v>
                </c:pt>
              </c:numCache>
            </c:numRef>
          </c:val>
        </c:ser>
        <c:firstSliceAng val="0"/>
        <c:holeSize val="50"/>
      </c:doughnut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NGO Founding Timeline (1946 - 2002)</a:t>
            </a:r>
          </a:p>
        </c:rich>
      </c:tx>
      <c:overlay val="0"/>
      <c:spPr>
        <a:noFill/>
        <a:ln w="0">
          <a:noFill/>
        </a:ln>
      </c:spPr>
    </c:title>
    <c:autoTitleDeleted val="0"/>
    <c:plotArea>
      <c:lineChart>
        <c:grouping val="standard"/>
        <c:varyColors val="0"/>
        <c:ser>
          <c:idx val="0"/>
          <c:order val="0"/>
          <c:tx>
            <c:strRef>
              <c:f>'NGO Research Database'!G4</c:f>
              <c:strCache>
                <c:ptCount val="1"/>
                <c:pt idx="0">
                  <c:v>Year Founded</c:v>
                </c:pt>
              </c:strCache>
            </c:strRef>
          </c:tx>
          <c:spPr>
            <a:solidFill>
              <a:srgbClr val="4a7ebb"/>
            </a:solidFill>
            <a:ln w="24840">
              <a:solidFill>
                <a:srgbClr val="4a7ebb"/>
              </a:solidFill>
              <a:round/>
            </a:ln>
          </c:spPr>
          <c:marker>
            <c:symbol val="circle"/>
            <c:size val="5"/>
            <c:spPr>
              <a:solidFill>
                <a:srgbClr val="4a7ebb"/>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'NGO Research Database'!$B$5:$B$14</c:f>
              <c:strCache>
                <c:ptCount val="10"/>
                <c:pt idx="0">
                  <c:v>Smile Foundation</c:v>
                </c:pt>
                <c:pt idx="1">
                  <c:v>CRY - Child Rights and You</c:v>
                </c:pt>
                <c:pt idx="2">
                  <c:v>Pratham Education Foundation</c:v>
                </c:pt>
                <c:pt idx="3">
                  <c:v>Goonj</c:v>
                </c:pt>
                <c:pt idx="4">
                  <c:v>HelpAge India</c:v>
                </c:pt>
                <c:pt idx="5">
                  <c:v>CARE India</c:v>
                </c:pt>
                <c:pt idx="6">
                  <c:v>Akshaya Patra Foundation</c:v>
                </c:pt>
                <c:pt idx="7">
                  <c:v>WWF India</c:v>
                </c:pt>
                <c:pt idx="8">
                  <c:v>GiveIndia</c:v>
                </c:pt>
                <c:pt idx="9">
                  <c:v>SEWA (Self Employed Women's Association)</c:v>
                </c:pt>
              </c:strCache>
            </c:strRef>
          </c:cat>
          <c:val>
            <c:numRef>
              <c:f>'NGO Research Database'!$G$5:$G$14</c:f>
              <c:numCache>
                <c:formatCode>General</c:formatCode>
                <c:ptCount val="10"/>
                <c:pt idx="0">
                  <c:v>2002</c:v>
                </c:pt>
                <c:pt idx="1">
                  <c:v>1979</c:v>
                </c:pt>
                <c:pt idx="2">
                  <c:v>1995</c:v>
                </c:pt>
                <c:pt idx="3">
                  <c:v>1999</c:v>
                </c:pt>
                <c:pt idx="4">
                  <c:v>1978</c:v>
                </c:pt>
                <c:pt idx="5">
                  <c:v>1946</c:v>
                </c:pt>
                <c:pt idx="6">
                  <c:v>2000</c:v>
                </c:pt>
                <c:pt idx="7">
                  <c:v>1969</c:v>
                </c:pt>
                <c:pt idx="8">
                  <c:v>2000</c:v>
                </c:pt>
                <c:pt idx="9">
                  <c:v>1972</c:v>
                </c:pt>
              </c:numCache>
            </c:numRef>
          </c:val>
          <c:smooth val="1"/>
        </c:ser>
        <c:hiLowLines>
          <c:spPr>
            <a:ln w="0">
              <a:noFill/>
            </a:ln>
          </c:spPr>
        </c:hiLowLines>
        <c:marker val="1"/>
        <c:axId val="30362047"/>
        <c:axId val="61539925"/>
      </c:lineChart>
      <c:catAx>
        <c:axId val="30362047"/>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NGO</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1539925"/>
        <c:crosses val="autoZero"/>
        <c:auto val="1"/>
        <c:lblAlgn val="ctr"/>
        <c:lblOffset val="100"/>
        <c:noMultiLvlLbl val="0"/>
      </c:catAx>
      <c:valAx>
        <c:axId val="6153992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Year Founded</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036204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12</xdr:row>
      <xdr:rowOff>0</xdr:rowOff>
    </xdr:from>
    <xdr:to>
      <xdr:col>7</xdr:col>
      <xdr:colOff>42840</xdr:colOff>
      <xdr:row>28</xdr:row>
      <xdr:rowOff>11520</xdr:rowOff>
    </xdr:to>
    <xdr:graphicFrame>
      <xdr:nvGraphicFramePr>
        <xdr:cNvPr id="0" name="Chart 1"/>
        <xdr:cNvGraphicFramePr/>
      </xdr:nvGraphicFramePr>
      <xdr:xfrm>
        <a:off x="0" y="2666880"/>
        <a:ext cx="539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12</xdr:row>
      <xdr:rowOff>0</xdr:rowOff>
    </xdr:from>
    <xdr:to>
      <xdr:col>12</xdr:col>
      <xdr:colOff>254160</xdr:colOff>
      <xdr:row>28</xdr:row>
      <xdr:rowOff>11520</xdr:rowOff>
    </xdr:to>
    <xdr:graphicFrame>
      <xdr:nvGraphicFramePr>
        <xdr:cNvPr id="1" name="Chart 2"/>
        <xdr:cNvGraphicFramePr/>
      </xdr:nvGraphicFramePr>
      <xdr:xfrm>
        <a:off x="4370040" y="2666880"/>
        <a:ext cx="5399640" cy="305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30</xdr:row>
      <xdr:rowOff>0</xdr:rowOff>
    </xdr:from>
    <xdr:to>
      <xdr:col>7</xdr:col>
      <xdr:colOff>42840</xdr:colOff>
      <xdr:row>46</xdr:row>
      <xdr:rowOff>11520</xdr:rowOff>
    </xdr:to>
    <xdr:graphicFrame>
      <xdr:nvGraphicFramePr>
        <xdr:cNvPr id="2" name="Chart 3"/>
        <xdr:cNvGraphicFramePr/>
      </xdr:nvGraphicFramePr>
      <xdr:xfrm>
        <a:off x="0" y="6095880"/>
        <a:ext cx="5399640" cy="305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0</xdr:colOff>
      <xdr:row>30</xdr:row>
      <xdr:rowOff>0</xdr:rowOff>
    </xdr:from>
    <xdr:to>
      <xdr:col>12</xdr:col>
      <xdr:colOff>254160</xdr:colOff>
      <xdr:row>46</xdr:row>
      <xdr:rowOff>11520</xdr:rowOff>
    </xdr:to>
    <xdr:graphicFrame>
      <xdr:nvGraphicFramePr>
        <xdr:cNvPr id="3" name="Chart 4"/>
        <xdr:cNvGraphicFramePr/>
      </xdr:nvGraphicFramePr>
      <xdr:xfrm>
        <a:off x="4370040" y="6095880"/>
        <a:ext cx="5399640" cy="305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48</xdr:row>
      <xdr:rowOff>0</xdr:rowOff>
    </xdr:from>
    <xdr:to>
      <xdr:col>13</xdr:col>
      <xdr:colOff>297360</xdr:colOff>
      <xdr:row>65</xdr:row>
      <xdr:rowOff>1080</xdr:rowOff>
    </xdr:to>
    <xdr:graphicFrame>
      <xdr:nvGraphicFramePr>
        <xdr:cNvPr id="4" name="Chart 5"/>
        <xdr:cNvGraphicFramePr/>
      </xdr:nvGraphicFramePr>
      <xdr:xfrm>
        <a:off x="0" y="9524880"/>
        <a:ext cx="10799640" cy="323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smilefoundationindia.org/" TargetMode="External"/><Relationship Id="rId2" Type="http://schemas.openxmlformats.org/officeDocument/2006/relationships/hyperlink" Target="https://in.linkedin.com/company/smile-foundation" TargetMode="External"/><Relationship Id="rId3" Type="http://schemas.openxmlformats.org/officeDocument/2006/relationships/hyperlink" Target="https://www.facebook.com/smilefoundationindia.org/" TargetMode="External"/><Relationship Id="rId4" Type="http://schemas.openxmlformats.org/officeDocument/2006/relationships/hyperlink" Target="https://www.cry.org/" TargetMode="External"/><Relationship Id="rId5" Type="http://schemas.openxmlformats.org/officeDocument/2006/relationships/hyperlink" Target="https://in.linkedin.com/company/cry" TargetMode="External"/><Relationship Id="rId6" Type="http://schemas.openxmlformats.org/officeDocument/2006/relationships/hyperlink" Target="https://www.facebook.com/CRYINDIA" TargetMode="External"/><Relationship Id="rId7" Type="http://schemas.openxmlformats.org/officeDocument/2006/relationships/hyperlink" Target="https://www.pratham.org/" TargetMode="External"/><Relationship Id="rId8" Type="http://schemas.openxmlformats.org/officeDocument/2006/relationships/hyperlink" Target="https://goonj.org/" TargetMode="External"/><Relationship Id="rId9" Type="http://schemas.openxmlformats.org/officeDocument/2006/relationships/hyperlink" Target="https://www.helpageindia.org/" TargetMode="External"/><Relationship Id="rId10" Type="http://schemas.openxmlformats.org/officeDocument/2006/relationships/hyperlink" Target="https://in.linkedin.com/company/helpage-india" TargetMode="External"/><Relationship Id="rId11" Type="http://schemas.openxmlformats.org/officeDocument/2006/relationships/hyperlink" Target="https://www.careindia.org/" TargetMode="External"/><Relationship Id="rId12" Type="http://schemas.openxmlformats.org/officeDocument/2006/relationships/hyperlink" Target="https://www.akshayapatra.org/" TargetMode="External"/><Relationship Id="rId13" Type="http://schemas.openxmlformats.org/officeDocument/2006/relationships/hyperlink" Target="https://in.linkedin.com/company/the-akshaya-patra-foundation" TargetMode="External"/><Relationship Id="rId14" Type="http://schemas.openxmlformats.org/officeDocument/2006/relationships/hyperlink" Target="https://www.wwfindia.org/" TargetMode="External"/><Relationship Id="rId15" Type="http://schemas.openxmlformats.org/officeDocument/2006/relationships/hyperlink" Target="https://www.giveindia.org/" TargetMode="External"/><Relationship Id="rId16" Type="http://schemas.openxmlformats.org/officeDocument/2006/relationships/hyperlink" Target="https://www.sewa.org/" TargetMode="External"/><Relationship Id="rId17"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hyperlink" Target="https://www.linkedin.com/in/mohd-azeem-597a55230"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C1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32"/>
    <col collapsed="false" customWidth="true" hidden="false" outlineLevel="0" max="4" min="4" style="0" width="14"/>
    <col collapsed="false" customWidth="true" hidden="false" outlineLevel="0" max="5" min="5" style="0" width="16"/>
    <col collapsed="false" customWidth="true" hidden="false" outlineLevel="0" max="6" min="6" style="0" width="10"/>
    <col collapsed="false" customWidth="true" hidden="false" outlineLevel="0" max="7" min="7" style="0" width="12"/>
    <col collapsed="false" customWidth="true" hidden="false" outlineLevel="0" max="8" min="8" style="0" width="30"/>
    <col collapsed="false" customWidth="true" hidden="false" outlineLevel="0" max="9" min="9" style="0" width="28"/>
    <col collapsed="false" customWidth="true" hidden="false" outlineLevel="0" max="10" min="10" style="0" width="26"/>
    <col collapsed="false" customWidth="true" hidden="false" outlineLevel="0" max="11" min="11" style="0" width="30"/>
    <col collapsed="false" customWidth="true" hidden="false" outlineLevel="0" max="12" min="12" style="0" width="42"/>
    <col collapsed="false" customWidth="true" hidden="false" outlineLevel="0" max="13" min="13" style="0" width="36"/>
    <col collapsed="false" customWidth="true" hidden="false" outlineLevel="0" max="14" min="14" style="0" width="40"/>
    <col collapsed="false" customWidth="true" hidden="false" outlineLevel="0" max="15" min="15" style="0" width="36"/>
    <col collapsed="false" customWidth="true" hidden="false" outlineLevel="0" max="16" min="16" style="0" width="30"/>
    <col collapsed="false" customWidth="true" hidden="false" outlineLevel="0" max="17" min="17" style="0" width="18"/>
    <col collapsed="false" customWidth="true" hidden="false" outlineLevel="0" max="18" min="18" style="0" width="30"/>
    <col collapsed="false" customWidth="true" hidden="false" outlineLevel="0" max="19" min="19" style="0" width="40"/>
    <col collapsed="false" customWidth="true" hidden="false" outlineLevel="0" max="20" min="20" style="0" width="30"/>
    <col collapsed="false" customWidth="true" hidden="false" outlineLevel="0" max="21" min="21" style="0" width="20"/>
    <col collapsed="false" customWidth="true" hidden="false" outlineLevel="0" max="22" min="22" style="0" width="16"/>
    <col collapsed="false" customWidth="true" hidden="false" outlineLevel="0" max="24" min="23" style="0" width="26"/>
    <col collapsed="false" customWidth="true" hidden="false" outlineLevel="0" max="26" min="25" style="0" width="16"/>
    <col collapsed="false" customWidth="true" hidden="false" outlineLevel="0" max="27" min="27" style="0" width="40"/>
    <col collapsed="false" customWidth="true" hidden="false" outlineLevel="0" max="28" min="28" style="0" width="14"/>
    <col collapsed="false" customWidth="true" hidden="false" outlineLevel="0" max="29" min="29" style="0" width="40"/>
  </cols>
  <sheetData>
    <row r="1" customFormat="false" ht="33.75" hidden="false" customHeight="true" outlineLevel="0" collapsed="false">
      <c r="A1" s="1" t="s">
        <v>0</v>
      </c>
      <c r="B1" s="1"/>
      <c r="C1" s="1"/>
      <c r="D1" s="1"/>
      <c r="E1" s="1"/>
      <c r="F1" s="1"/>
      <c r="G1" s="1"/>
      <c r="H1" s="1"/>
      <c r="I1" s="1"/>
      <c r="J1" s="1"/>
      <c r="K1" s="1"/>
      <c r="L1" s="1"/>
      <c r="M1" s="1"/>
      <c r="N1" s="1"/>
      <c r="O1" s="1"/>
      <c r="P1" s="1"/>
      <c r="Q1" s="1"/>
      <c r="R1" s="1"/>
      <c r="S1" s="1"/>
      <c r="T1" s="1"/>
      <c r="U1" s="1"/>
      <c r="V1" s="1"/>
      <c r="W1" s="1"/>
      <c r="X1" s="1"/>
      <c r="Y1" s="1"/>
      <c r="Z1" s="1"/>
      <c r="AA1" s="1"/>
      <c r="AB1" s="1"/>
      <c r="AC1" s="1"/>
    </row>
    <row r="2" customFormat="false" ht="19.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c r="AB2" s="2"/>
      <c r="AC2" s="2"/>
    </row>
    <row r="4" customFormat="false" ht="30" hidden="false" customHeight="true" outlineLevel="0" collapsed="false">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3" t="s">
        <v>21</v>
      </c>
      <c r="U4" s="3" t="s">
        <v>22</v>
      </c>
      <c r="V4" s="3" t="s">
        <v>23</v>
      </c>
      <c r="W4" s="3" t="s">
        <v>24</v>
      </c>
      <c r="X4" s="3" t="s">
        <v>25</v>
      </c>
      <c r="Y4" s="3" t="s">
        <v>26</v>
      </c>
      <c r="Z4" s="3" t="s">
        <v>27</v>
      </c>
      <c r="AA4" s="3" t="s">
        <v>28</v>
      </c>
      <c r="AB4" s="3" t="s">
        <v>29</v>
      </c>
      <c r="AC4" s="3" t="s">
        <v>30</v>
      </c>
    </row>
    <row r="5" customFormat="false" ht="60" hidden="false" customHeight="true" outlineLevel="0" collapsed="false">
      <c r="A5" s="4" t="n">
        <v>1</v>
      </c>
      <c r="B5" s="5" t="s">
        <v>31</v>
      </c>
      <c r="C5" s="6" t="s">
        <v>32</v>
      </c>
      <c r="D5" s="5" t="s">
        <v>33</v>
      </c>
      <c r="E5" s="5" t="s">
        <v>34</v>
      </c>
      <c r="F5" s="5" t="s">
        <v>35</v>
      </c>
      <c r="G5" s="4" t="n">
        <v>2002</v>
      </c>
      <c r="H5" s="5" t="s">
        <v>36</v>
      </c>
      <c r="I5" s="5" t="s">
        <v>37</v>
      </c>
      <c r="J5" s="5" t="s">
        <v>38</v>
      </c>
      <c r="K5" s="5" t="s">
        <v>39</v>
      </c>
      <c r="L5" s="5" t="s">
        <v>40</v>
      </c>
      <c r="M5" s="5" t="s">
        <v>41</v>
      </c>
      <c r="N5" s="5" t="s">
        <v>42</v>
      </c>
      <c r="O5" s="5" t="s">
        <v>43</v>
      </c>
      <c r="P5" s="5" t="s">
        <v>44</v>
      </c>
      <c r="Q5" s="5" t="s">
        <v>45</v>
      </c>
      <c r="R5" s="5" t="s">
        <v>46</v>
      </c>
      <c r="S5" s="5" t="s">
        <v>47</v>
      </c>
      <c r="T5" s="5" t="s">
        <v>48</v>
      </c>
      <c r="U5" s="5" t="s">
        <v>41</v>
      </c>
      <c r="V5" s="5" t="s">
        <v>41</v>
      </c>
      <c r="W5" s="6" t="s">
        <v>49</v>
      </c>
      <c r="X5" s="6" t="s">
        <v>50</v>
      </c>
      <c r="Y5" s="5" t="s">
        <v>41</v>
      </c>
      <c r="Z5" s="5" t="s">
        <v>41</v>
      </c>
      <c r="AA5" s="5" t="s">
        <v>51</v>
      </c>
      <c r="AB5" s="5" t="s">
        <v>52</v>
      </c>
      <c r="AC5" s="5" t="s">
        <v>53</v>
      </c>
    </row>
    <row r="6" customFormat="false" ht="60" hidden="false" customHeight="true" outlineLevel="0" collapsed="false">
      <c r="A6" s="7" t="n">
        <v>2</v>
      </c>
      <c r="B6" s="8" t="s">
        <v>54</v>
      </c>
      <c r="C6" s="9" t="s">
        <v>55</v>
      </c>
      <c r="D6" s="8" t="s">
        <v>56</v>
      </c>
      <c r="E6" s="8" t="s">
        <v>57</v>
      </c>
      <c r="F6" s="8" t="s">
        <v>35</v>
      </c>
      <c r="G6" s="7" t="n">
        <v>1979</v>
      </c>
      <c r="H6" s="8" t="s">
        <v>58</v>
      </c>
      <c r="I6" s="8" t="s">
        <v>59</v>
      </c>
      <c r="J6" s="8" t="s">
        <v>60</v>
      </c>
      <c r="K6" s="8" t="s">
        <v>61</v>
      </c>
      <c r="L6" s="8" t="s">
        <v>62</v>
      </c>
      <c r="M6" s="8" t="s">
        <v>63</v>
      </c>
      <c r="N6" s="8" t="s">
        <v>64</v>
      </c>
      <c r="O6" s="8" t="s">
        <v>65</v>
      </c>
      <c r="P6" s="8" t="s">
        <v>66</v>
      </c>
      <c r="Q6" s="8" t="s">
        <v>67</v>
      </c>
      <c r="R6" s="8" t="s">
        <v>41</v>
      </c>
      <c r="S6" s="8" t="s">
        <v>68</v>
      </c>
      <c r="T6" s="8" t="s">
        <v>69</v>
      </c>
      <c r="U6" s="8" t="s">
        <v>41</v>
      </c>
      <c r="V6" s="8" t="s">
        <v>41</v>
      </c>
      <c r="W6" s="9" t="s">
        <v>70</v>
      </c>
      <c r="X6" s="9" t="s">
        <v>71</v>
      </c>
      <c r="Y6" s="8" t="s">
        <v>72</v>
      </c>
      <c r="Z6" s="8" t="s">
        <v>73</v>
      </c>
      <c r="AA6" s="8" t="s">
        <v>74</v>
      </c>
      <c r="AB6" s="8" t="s">
        <v>52</v>
      </c>
      <c r="AC6" s="8" t="s">
        <v>75</v>
      </c>
    </row>
    <row r="7" customFormat="false" ht="60" hidden="false" customHeight="true" outlineLevel="0" collapsed="false">
      <c r="A7" s="4" t="n">
        <v>3</v>
      </c>
      <c r="B7" s="5" t="s">
        <v>76</v>
      </c>
      <c r="C7" s="6" t="s">
        <v>77</v>
      </c>
      <c r="D7" s="5" t="s">
        <v>56</v>
      </c>
      <c r="E7" s="5" t="s">
        <v>57</v>
      </c>
      <c r="F7" s="5" t="s">
        <v>35</v>
      </c>
      <c r="G7" s="4" t="n">
        <v>1995</v>
      </c>
      <c r="H7" s="5" t="s">
        <v>78</v>
      </c>
      <c r="I7" s="5" t="s">
        <v>79</v>
      </c>
      <c r="J7" s="5" t="s">
        <v>80</v>
      </c>
      <c r="K7" s="5" t="s">
        <v>81</v>
      </c>
      <c r="L7" s="5" t="s">
        <v>82</v>
      </c>
      <c r="M7" s="5" t="s">
        <v>41</v>
      </c>
      <c r="N7" s="5" t="s">
        <v>83</v>
      </c>
      <c r="O7" s="5" t="s">
        <v>84</v>
      </c>
      <c r="P7" s="5" t="s">
        <v>85</v>
      </c>
      <c r="Q7" s="5" t="s">
        <v>86</v>
      </c>
      <c r="R7" s="5" t="s">
        <v>87</v>
      </c>
      <c r="S7" s="5" t="s">
        <v>88</v>
      </c>
      <c r="T7" s="5" t="s">
        <v>89</v>
      </c>
      <c r="U7" s="5" t="s">
        <v>41</v>
      </c>
      <c r="V7" s="5" t="s">
        <v>41</v>
      </c>
      <c r="W7" s="5" t="s">
        <v>41</v>
      </c>
      <c r="X7" s="5" t="s">
        <v>41</v>
      </c>
      <c r="Y7" s="5" t="s">
        <v>41</v>
      </c>
      <c r="Z7" s="5" t="s">
        <v>41</v>
      </c>
      <c r="AA7" s="5" t="s">
        <v>90</v>
      </c>
      <c r="AB7" s="5" t="s">
        <v>52</v>
      </c>
      <c r="AC7" s="5" t="s">
        <v>91</v>
      </c>
    </row>
    <row r="8" customFormat="false" ht="60" hidden="false" customHeight="true" outlineLevel="0" collapsed="false">
      <c r="A8" s="7" t="n">
        <v>4</v>
      </c>
      <c r="B8" s="8" t="s">
        <v>92</v>
      </c>
      <c r="C8" s="9" t="s">
        <v>93</v>
      </c>
      <c r="D8" s="8" t="s">
        <v>33</v>
      </c>
      <c r="E8" s="8" t="s">
        <v>34</v>
      </c>
      <c r="F8" s="8" t="s">
        <v>35</v>
      </c>
      <c r="G8" s="7" t="n">
        <v>1999</v>
      </c>
      <c r="H8" s="8" t="s">
        <v>94</v>
      </c>
      <c r="I8" s="8" t="s">
        <v>95</v>
      </c>
      <c r="J8" s="8" t="s">
        <v>96</v>
      </c>
      <c r="K8" s="8" t="s">
        <v>97</v>
      </c>
      <c r="L8" s="8" t="s">
        <v>98</v>
      </c>
      <c r="M8" s="8" t="s">
        <v>99</v>
      </c>
      <c r="N8" s="8" t="s">
        <v>100</v>
      </c>
      <c r="O8" s="8" t="s">
        <v>101</v>
      </c>
      <c r="P8" s="8" t="s">
        <v>102</v>
      </c>
      <c r="Q8" s="8" t="s">
        <v>103</v>
      </c>
      <c r="R8" s="8" t="s">
        <v>41</v>
      </c>
      <c r="S8" s="8" t="s">
        <v>104</v>
      </c>
      <c r="T8" s="8" t="s">
        <v>105</v>
      </c>
      <c r="U8" s="8" t="s">
        <v>106</v>
      </c>
      <c r="V8" s="8" t="s">
        <v>107</v>
      </c>
      <c r="W8" s="8" t="s">
        <v>41</v>
      </c>
      <c r="X8" s="8" t="s">
        <v>41</v>
      </c>
      <c r="Y8" s="8" t="s">
        <v>41</v>
      </c>
      <c r="Z8" s="8" t="s">
        <v>41</v>
      </c>
      <c r="AA8" s="8" t="s">
        <v>108</v>
      </c>
      <c r="AB8" s="8" t="s">
        <v>52</v>
      </c>
      <c r="AC8" s="8" t="s">
        <v>109</v>
      </c>
    </row>
    <row r="9" customFormat="false" ht="60" hidden="false" customHeight="true" outlineLevel="0" collapsed="false">
      <c r="A9" s="4" t="n">
        <v>5</v>
      </c>
      <c r="B9" s="5" t="s">
        <v>110</v>
      </c>
      <c r="C9" s="6" t="s">
        <v>111</v>
      </c>
      <c r="D9" s="5" t="s">
        <v>33</v>
      </c>
      <c r="E9" s="5" t="s">
        <v>34</v>
      </c>
      <c r="F9" s="5" t="s">
        <v>35</v>
      </c>
      <c r="G9" s="4" t="n">
        <v>1978</v>
      </c>
      <c r="H9" s="5" t="s">
        <v>112</v>
      </c>
      <c r="I9" s="5" t="s">
        <v>113</v>
      </c>
      <c r="J9" s="5" t="s">
        <v>96</v>
      </c>
      <c r="K9" s="5" t="s">
        <v>114</v>
      </c>
      <c r="L9" s="5" t="s">
        <v>115</v>
      </c>
      <c r="M9" s="5" t="s">
        <v>116</v>
      </c>
      <c r="N9" s="5" t="s">
        <v>117</v>
      </c>
      <c r="O9" s="5" t="s">
        <v>118</v>
      </c>
      <c r="P9" s="5" t="s">
        <v>119</v>
      </c>
      <c r="Q9" s="5" t="s">
        <v>120</v>
      </c>
      <c r="R9" s="5" t="s">
        <v>41</v>
      </c>
      <c r="S9" s="5" t="s">
        <v>121</v>
      </c>
      <c r="T9" s="5" t="s">
        <v>122</v>
      </c>
      <c r="U9" s="5" t="s">
        <v>41</v>
      </c>
      <c r="V9" s="5" t="s">
        <v>123</v>
      </c>
      <c r="W9" s="6" t="s">
        <v>124</v>
      </c>
      <c r="X9" s="5" t="s">
        <v>41</v>
      </c>
      <c r="Y9" s="5" t="s">
        <v>41</v>
      </c>
      <c r="Z9" s="5" t="s">
        <v>41</v>
      </c>
      <c r="AA9" s="5" t="s">
        <v>125</v>
      </c>
      <c r="AB9" s="5" t="s">
        <v>52</v>
      </c>
      <c r="AC9" s="5" t="s">
        <v>126</v>
      </c>
    </row>
    <row r="10" customFormat="false" ht="60" hidden="false" customHeight="true" outlineLevel="0" collapsed="false">
      <c r="A10" s="7" t="n">
        <v>6</v>
      </c>
      <c r="B10" s="8" t="s">
        <v>127</v>
      </c>
      <c r="C10" s="9" t="s">
        <v>128</v>
      </c>
      <c r="D10" s="8" t="s">
        <v>33</v>
      </c>
      <c r="E10" s="8" t="s">
        <v>34</v>
      </c>
      <c r="F10" s="8" t="s">
        <v>35</v>
      </c>
      <c r="G10" s="7" t="n">
        <v>1946</v>
      </c>
      <c r="H10" s="8" t="s">
        <v>129</v>
      </c>
      <c r="I10" s="8" t="s">
        <v>130</v>
      </c>
      <c r="J10" s="8" t="s">
        <v>131</v>
      </c>
      <c r="K10" s="8" t="s">
        <v>132</v>
      </c>
      <c r="L10" s="8" t="s">
        <v>133</v>
      </c>
      <c r="M10" s="8" t="s">
        <v>134</v>
      </c>
      <c r="N10" s="8" t="s">
        <v>135</v>
      </c>
      <c r="O10" s="8" t="s">
        <v>136</v>
      </c>
      <c r="P10" s="8" t="s">
        <v>137</v>
      </c>
      <c r="Q10" s="8" t="s">
        <v>138</v>
      </c>
      <c r="R10" s="8" t="s">
        <v>41</v>
      </c>
      <c r="S10" s="8" t="s">
        <v>41</v>
      </c>
      <c r="T10" s="8" t="s">
        <v>139</v>
      </c>
      <c r="U10" s="8" t="s">
        <v>41</v>
      </c>
      <c r="V10" s="8" t="s">
        <v>41</v>
      </c>
      <c r="W10" s="8" t="s">
        <v>41</v>
      </c>
      <c r="X10" s="8" t="s">
        <v>41</v>
      </c>
      <c r="Y10" s="8" t="s">
        <v>41</v>
      </c>
      <c r="Z10" s="8" t="s">
        <v>41</v>
      </c>
      <c r="AA10" s="8" t="s">
        <v>140</v>
      </c>
      <c r="AB10" s="8" t="s">
        <v>52</v>
      </c>
      <c r="AC10" s="8" t="s">
        <v>141</v>
      </c>
    </row>
    <row r="11" customFormat="false" ht="60" hidden="false" customHeight="true" outlineLevel="0" collapsed="false">
      <c r="A11" s="4" t="n">
        <v>7</v>
      </c>
      <c r="B11" s="5" t="s">
        <v>142</v>
      </c>
      <c r="C11" s="6" t="s">
        <v>143</v>
      </c>
      <c r="D11" s="5" t="s">
        <v>144</v>
      </c>
      <c r="E11" s="5" t="s">
        <v>145</v>
      </c>
      <c r="F11" s="5" t="s">
        <v>35</v>
      </c>
      <c r="G11" s="4" t="n">
        <v>2000</v>
      </c>
      <c r="H11" s="5" t="s">
        <v>146</v>
      </c>
      <c r="I11" s="5" t="s">
        <v>147</v>
      </c>
      <c r="J11" s="5" t="s">
        <v>148</v>
      </c>
      <c r="K11" s="5" t="s">
        <v>149</v>
      </c>
      <c r="L11" s="5" t="s">
        <v>150</v>
      </c>
      <c r="M11" s="5" t="s">
        <v>151</v>
      </c>
      <c r="N11" s="5" t="s">
        <v>152</v>
      </c>
      <c r="O11" s="5" t="s">
        <v>153</v>
      </c>
      <c r="P11" s="5" t="s">
        <v>154</v>
      </c>
      <c r="Q11" s="5" t="s">
        <v>155</v>
      </c>
      <c r="R11" s="5" t="s">
        <v>156</v>
      </c>
      <c r="S11" s="5" t="s">
        <v>157</v>
      </c>
      <c r="T11" s="5" t="s">
        <v>158</v>
      </c>
      <c r="U11" s="5" t="s">
        <v>41</v>
      </c>
      <c r="V11" s="5" t="s">
        <v>41</v>
      </c>
      <c r="W11" s="6" t="s">
        <v>159</v>
      </c>
      <c r="X11" s="5" t="s">
        <v>41</v>
      </c>
      <c r="Y11" s="5" t="s">
        <v>41</v>
      </c>
      <c r="Z11" s="5" t="s">
        <v>41</v>
      </c>
      <c r="AA11" s="5" t="s">
        <v>160</v>
      </c>
      <c r="AB11" s="5" t="s">
        <v>52</v>
      </c>
      <c r="AC11" s="5" t="s">
        <v>161</v>
      </c>
    </row>
    <row r="12" customFormat="false" ht="60" hidden="false" customHeight="true" outlineLevel="0" collapsed="false">
      <c r="A12" s="7" t="n">
        <v>8</v>
      </c>
      <c r="B12" s="8" t="s">
        <v>162</v>
      </c>
      <c r="C12" s="9" t="s">
        <v>163</v>
      </c>
      <c r="D12" s="8" t="s">
        <v>33</v>
      </c>
      <c r="E12" s="8" t="s">
        <v>34</v>
      </c>
      <c r="F12" s="8" t="s">
        <v>35</v>
      </c>
      <c r="G12" s="7" t="n">
        <v>1969</v>
      </c>
      <c r="H12" s="8" t="s">
        <v>164</v>
      </c>
      <c r="I12" s="8" t="s">
        <v>165</v>
      </c>
      <c r="J12" s="8" t="s">
        <v>166</v>
      </c>
      <c r="K12" s="8" t="s">
        <v>167</v>
      </c>
      <c r="L12" s="8" t="s">
        <v>168</v>
      </c>
      <c r="M12" s="8" t="s">
        <v>169</v>
      </c>
      <c r="N12" s="8" t="s">
        <v>170</v>
      </c>
      <c r="O12" s="8" t="s">
        <v>171</v>
      </c>
      <c r="P12" s="8" t="s">
        <v>172</v>
      </c>
      <c r="Q12" s="8" t="s">
        <v>173</v>
      </c>
      <c r="R12" s="8" t="s">
        <v>174</v>
      </c>
      <c r="S12" s="8" t="s">
        <v>175</v>
      </c>
      <c r="T12" s="8" t="s">
        <v>41</v>
      </c>
      <c r="U12" s="8" t="s">
        <v>41</v>
      </c>
      <c r="V12" s="8" t="s">
        <v>41</v>
      </c>
      <c r="W12" s="8" t="s">
        <v>41</v>
      </c>
      <c r="X12" s="8" t="s">
        <v>41</v>
      </c>
      <c r="Y12" s="8" t="s">
        <v>41</v>
      </c>
      <c r="Z12" s="8" t="s">
        <v>41</v>
      </c>
      <c r="AA12" s="8" t="s">
        <v>176</v>
      </c>
      <c r="AB12" s="8" t="s">
        <v>52</v>
      </c>
      <c r="AC12" s="8" t="s">
        <v>177</v>
      </c>
    </row>
    <row r="13" customFormat="false" ht="60" hidden="false" customHeight="true" outlineLevel="0" collapsed="false">
      <c r="A13" s="4" t="n">
        <v>9</v>
      </c>
      <c r="B13" s="5" t="s">
        <v>178</v>
      </c>
      <c r="C13" s="6" t="s">
        <v>179</v>
      </c>
      <c r="D13" s="5" t="s">
        <v>180</v>
      </c>
      <c r="E13" s="5" t="s">
        <v>181</v>
      </c>
      <c r="F13" s="5" t="s">
        <v>35</v>
      </c>
      <c r="G13" s="4" t="n">
        <v>2000</v>
      </c>
      <c r="H13" s="5" t="s">
        <v>182</v>
      </c>
      <c r="I13" s="5" t="s">
        <v>183</v>
      </c>
      <c r="J13" s="5" t="s">
        <v>184</v>
      </c>
      <c r="K13" s="5" t="s">
        <v>185</v>
      </c>
      <c r="L13" s="5" t="s">
        <v>186</v>
      </c>
      <c r="M13" s="5" t="s">
        <v>187</v>
      </c>
      <c r="N13" s="5" t="s">
        <v>188</v>
      </c>
      <c r="O13" s="5" t="s">
        <v>189</v>
      </c>
      <c r="P13" s="5" t="s">
        <v>190</v>
      </c>
      <c r="Q13" s="5" t="s">
        <v>103</v>
      </c>
      <c r="R13" s="5" t="s">
        <v>191</v>
      </c>
      <c r="S13" s="5" t="s">
        <v>41</v>
      </c>
      <c r="T13" s="5" t="s">
        <v>192</v>
      </c>
      <c r="U13" s="5" t="s">
        <v>41</v>
      </c>
      <c r="V13" s="5" t="s">
        <v>41</v>
      </c>
      <c r="W13" s="5" t="s">
        <v>41</v>
      </c>
      <c r="X13" s="5" t="s">
        <v>41</v>
      </c>
      <c r="Y13" s="5" t="s">
        <v>41</v>
      </c>
      <c r="Z13" s="5" t="s">
        <v>41</v>
      </c>
      <c r="AA13" s="5" t="s">
        <v>193</v>
      </c>
      <c r="AB13" s="5" t="s">
        <v>52</v>
      </c>
      <c r="AC13" s="5" t="s">
        <v>194</v>
      </c>
    </row>
    <row r="14" customFormat="false" ht="60" hidden="false" customHeight="true" outlineLevel="0" collapsed="false">
      <c r="A14" s="7" t="n">
        <v>10</v>
      </c>
      <c r="B14" s="8" t="s">
        <v>195</v>
      </c>
      <c r="C14" s="9" t="s">
        <v>196</v>
      </c>
      <c r="D14" s="8" t="s">
        <v>197</v>
      </c>
      <c r="E14" s="8" t="s">
        <v>198</v>
      </c>
      <c r="F14" s="8" t="s">
        <v>35</v>
      </c>
      <c r="G14" s="7" t="n">
        <v>1972</v>
      </c>
      <c r="H14" s="8" t="s">
        <v>199</v>
      </c>
      <c r="I14" s="8" t="s">
        <v>200</v>
      </c>
      <c r="J14" s="8" t="s">
        <v>201</v>
      </c>
      <c r="K14" s="8" t="s">
        <v>202</v>
      </c>
      <c r="L14" s="8" t="s">
        <v>203</v>
      </c>
      <c r="M14" s="8" t="s">
        <v>204</v>
      </c>
      <c r="N14" s="8" t="s">
        <v>205</v>
      </c>
      <c r="O14" s="8" t="s">
        <v>206</v>
      </c>
      <c r="P14" s="8" t="s">
        <v>207</v>
      </c>
      <c r="Q14" s="8" t="s">
        <v>208</v>
      </c>
      <c r="R14" s="8" t="s">
        <v>209</v>
      </c>
      <c r="S14" s="8" t="s">
        <v>210</v>
      </c>
      <c r="T14" s="8" t="s">
        <v>211</v>
      </c>
      <c r="U14" s="8" t="s">
        <v>41</v>
      </c>
      <c r="V14" s="8" t="s">
        <v>41</v>
      </c>
      <c r="W14" s="8" t="s">
        <v>41</v>
      </c>
      <c r="X14" s="8" t="s">
        <v>41</v>
      </c>
      <c r="Y14" s="8" t="s">
        <v>41</v>
      </c>
      <c r="Z14" s="8" t="s">
        <v>41</v>
      </c>
      <c r="AA14" s="8" t="s">
        <v>212</v>
      </c>
      <c r="AB14" s="8" t="s">
        <v>52</v>
      </c>
      <c r="AC14" s="8" t="s">
        <v>213</v>
      </c>
    </row>
  </sheetData>
  <autoFilter ref="A4:AC14"/>
  <mergeCells count="2">
    <mergeCell ref="A1:AC1"/>
    <mergeCell ref="A2:AC2"/>
  </mergeCells>
  <conditionalFormatting sqref="G5:G14">
    <cfRule type="colorScale" priority="2">
      <colorScale>
        <cfvo type="min" val="0"/>
        <cfvo type="max" val="0"/>
        <color rgb="FF63BE7B"/>
        <color rgb="FFF8696B"/>
      </colorScale>
    </cfRule>
  </conditionalFormatting>
  <hyperlinks>
    <hyperlink ref="C5" r:id="rId1" display="https://www.smilefoundationindia.org/"/>
    <hyperlink ref="W5" r:id="rId2" display="https://in.linkedin.com/company/smile-foundation"/>
    <hyperlink ref="X5" r:id="rId3" display="https://www.facebook.com/smilefoundationindia.org/"/>
    <hyperlink ref="C6" r:id="rId4" display="https://www.cry.org/"/>
    <hyperlink ref="W6" r:id="rId5" display="https://in.linkedin.com/company/cry"/>
    <hyperlink ref="X6" r:id="rId6" display="https://www.facebook.com/CRYINDIA"/>
    <hyperlink ref="C7" r:id="rId7" display="https://www.pratham.org/"/>
    <hyperlink ref="C8" r:id="rId8" display="https://goonj.org/"/>
    <hyperlink ref="C9" r:id="rId9" display="https://www.helpageindia.org/"/>
    <hyperlink ref="W9" r:id="rId10" display="https://in.linkedin.com/company/helpage-india"/>
    <hyperlink ref="C10" r:id="rId11" display="https://www.careindia.org/"/>
    <hyperlink ref="C11" r:id="rId12" display="https://www.akshayapatra.org/"/>
    <hyperlink ref="W11" r:id="rId13" display="https://in.linkedin.com/company/the-akshaya-patra-foundation"/>
    <hyperlink ref="C12" r:id="rId14" display="https://www.wwfindia.org/"/>
    <hyperlink ref="C13" r:id="rId15" display="https://www.giveindia.org/"/>
    <hyperlink ref="C14" r:id="rId16" display="https://www.sewa.org/"/>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9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8" min="2" style="0" width="16"/>
  </cols>
  <sheetData>
    <row r="1" customFormat="false" ht="31.5" hidden="false" customHeight="true" outlineLevel="0" collapsed="false">
      <c r="A1" s="1" t="s">
        <v>214</v>
      </c>
      <c r="B1" s="1"/>
      <c r="C1" s="1"/>
      <c r="D1" s="1"/>
      <c r="E1" s="1"/>
      <c r="F1" s="1"/>
      <c r="G1" s="1"/>
      <c r="H1" s="1"/>
    </row>
    <row r="3" customFormat="false" ht="21.75" hidden="false" customHeight="true" outlineLevel="0" collapsed="false">
      <c r="A3" s="10" t="s">
        <v>215</v>
      </c>
      <c r="B3" s="10"/>
    </row>
    <row r="4" customFormat="false" ht="15" hidden="false" customHeight="false" outlineLevel="0" collapsed="false">
      <c r="A4" s="11" t="s">
        <v>216</v>
      </c>
      <c r="B4" s="12" t="n">
        <f aca="false">COUNTA('NGO Research Database'!B5:B14)</f>
        <v>10</v>
      </c>
    </row>
    <row r="6" customFormat="false" ht="21.75" hidden="false" customHeight="true" outlineLevel="0" collapsed="false">
      <c r="A6" s="10" t="s">
        <v>217</v>
      </c>
      <c r="B6" s="10"/>
    </row>
    <row r="7" customFormat="false" ht="15" hidden="false" customHeight="false" outlineLevel="0" collapsed="false">
      <c r="A7" s="13" t="s">
        <v>11</v>
      </c>
      <c r="B7" s="13" t="s">
        <v>218</v>
      </c>
    </row>
    <row r="8" customFormat="false" ht="15" hidden="false" customHeight="false" outlineLevel="0" collapsed="false">
      <c r="A8" s="0" t="s">
        <v>219</v>
      </c>
      <c r="B8" s="0" t="n">
        <f aca="false">COUNTIF('NGO Research Database'!J5:J14,"*"&amp;A8&amp;"*")</f>
        <v>2</v>
      </c>
    </row>
    <row r="9" customFormat="false" ht="15" hidden="false" customHeight="false" outlineLevel="0" collapsed="false">
      <c r="A9" s="0" t="s">
        <v>220</v>
      </c>
      <c r="B9" s="0" t="n">
        <f aca="false">COUNTIF('NGO Research Database'!J5:J14,"*"&amp;A9&amp;"*")</f>
        <v>1</v>
      </c>
    </row>
    <row r="10" customFormat="false" ht="15" hidden="false" customHeight="false" outlineLevel="0" collapsed="false">
      <c r="A10" s="0" t="s">
        <v>221</v>
      </c>
      <c r="B10" s="0" t="n">
        <f aca="false">COUNTIF('NGO Research Database'!J5:J14,"*"&amp;A10&amp;"*")</f>
        <v>2</v>
      </c>
    </row>
    <row r="11" customFormat="false" ht="15" hidden="false" customHeight="false" outlineLevel="0" collapsed="false">
      <c r="A11" s="0" t="s">
        <v>222</v>
      </c>
      <c r="B11" s="0" t="n">
        <f aca="false">COUNTIF('NGO Research Database'!J5:J14,"*"&amp;A11&amp;"*")</f>
        <v>1</v>
      </c>
    </row>
    <row r="12" customFormat="false" ht="15" hidden="false" customHeight="false" outlineLevel="0" collapsed="false">
      <c r="A12" s="0" t="s">
        <v>223</v>
      </c>
      <c r="B12" s="0" t="n">
        <f aca="false">COUNTIF('NGO Research Database'!J5:J14,"*"&amp;A12&amp;"*")</f>
        <v>1</v>
      </c>
    </row>
    <row r="13" customFormat="false" ht="15" hidden="false" customHeight="false" outlineLevel="0" collapsed="false">
      <c r="A13" s="0" t="s">
        <v>224</v>
      </c>
      <c r="B13" s="0" t="n">
        <f aca="false">COUNTIF('NGO Research Database'!J5:J14,"*"&amp;A13&amp;"*")</f>
        <v>1</v>
      </c>
    </row>
    <row r="14" customFormat="false" ht="15" hidden="false" customHeight="false" outlineLevel="0" collapsed="false">
      <c r="A14" s="0" t="s">
        <v>225</v>
      </c>
      <c r="B14" s="0" t="n">
        <f aca="false">COUNTIF('NGO Research Database'!J5:J14,"*"&amp;A14&amp;"*")</f>
        <v>1</v>
      </c>
    </row>
    <row r="15" customFormat="false" ht="15" hidden="false" customHeight="false" outlineLevel="0" collapsed="false">
      <c r="A15" s="0" t="s">
        <v>226</v>
      </c>
      <c r="B15" s="0" t="n">
        <f aca="false">COUNTIF('NGO Research Database'!J5:J14,"*"&amp;A15&amp;"*")</f>
        <v>1</v>
      </c>
    </row>
    <row r="17" customFormat="false" ht="21.75" hidden="false" customHeight="true" outlineLevel="0" collapsed="false">
      <c r="A17" s="10" t="s">
        <v>227</v>
      </c>
      <c r="B17" s="10"/>
    </row>
    <row r="18" customFormat="false" ht="15" hidden="false" customHeight="false" outlineLevel="0" collapsed="false">
      <c r="A18" s="13" t="s">
        <v>6</v>
      </c>
      <c r="B18" s="13" t="s">
        <v>218</v>
      </c>
    </row>
    <row r="19" customFormat="false" ht="15" hidden="false" customHeight="false" outlineLevel="0" collapsed="false">
      <c r="A19" s="0" t="s">
        <v>34</v>
      </c>
      <c r="B19" s="0" t="n">
        <f aca="false">COUNTIF('NGO Research Database'!E5:E14,"*"&amp;A19&amp;"*")</f>
        <v>5</v>
      </c>
    </row>
    <row r="20" customFormat="false" ht="15" hidden="false" customHeight="false" outlineLevel="0" collapsed="false">
      <c r="A20" s="0" t="s">
        <v>57</v>
      </c>
      <c r="B20" s="0" t="n">
        <f aca="false">COUNTIF('NGO Research Database'!E5:E14,"*"&amp;A20&amp;"*")</f>
        <v>3</v>
      </c>
    </row>
    <row r="21" customFormat="false" ht="15" hidden="false" customHeight="false" outlineLevel="0" collapsed="false">
      <c r="A21" s="0" t="s">
        <v>145</v>
      </c>
      <c r="B21" s="0" t="n">
        <f aca="false">COUNTIF('NGO Research Database'!E5:E14,"*"&amp;A21&amp;"*")</f>
        <v>2</v>
      </c>
    </row>
    <row r="22" customFormat="false" ht="15" hidden="false" customHeight="false" outlineLevel="0" collapsed="false">
      <c r="A22" s="0" t="s">
        <v>198</v>
      </c>
      <c r="B22" s="0" t="n">
        <f aca="false">COUNTIF('NGO Research Database'!E5:E14,"*"&amp;A22&amp;"*")</f>
        <v>1</v>
      </c>
    </row>
    <row r="24" customFormat="false" ht="21.75" hidden="false" customHeight="true" outlineLevel="0" collapsed="false">
      <c r="A24" s="10" t="s">
        <v>228</v>
      </c>
      <c r="B24" s="10"/>
    </row>
    <row r="25" customFormat="false" ht="15" hidden="false" customHeight="false" outlineLevel="0" collapsed="false">
      <c r="A25" s="13" t="s">
        <v>229</v>
      </c>
      <c r="B25" s="13" t="s">
        <v>230</v>
      </c>
    </row>
    <row r="26" customFormat="false" ht="15" hidden="false" customHeight="false" outlineLevel="0" collapsed="false">
      <c r="A26" s="0" t="s">
        <v>231</v>
      </c>
      <c r="B26" s="0" t="n">
        <f aca="false">COUNTIFS('NGO Research Database'!G5:G14,"&gt;="&amp;1940,'NGO Research Database'!G5:G14,"&lt;="&amp;1949)</f>
        <v>1</v>
      </c>
    </row>
    <row r="27" customFormat="false" ht="15" hidden="false" customHeight="false" outlineLevel="0" collapsed="false">
      <c r="A27" s="0" t="s">
        <v>232</v>
      </c>
      <c r="B27" s="0" t="n">
        <f aca="false">COUNTIFS('NGO Research Database'!G5:G14,"&gt;="&amp;1960,'NGO Research Database'!G5:G14,"&lt;="&amp;1969)</f>
        <v>1</v>
      </c>
    </row>
    <row r="28" customFormat="false" ht="15" hidden="false" customHeight="false" outlineLevel="0" collapsed="false">
      <c r="A28" s="0" t="s">
        <v>233</v>
      </c>
      <c r="B28" s="0" t="n">
        <f aca="false">COUNTIFS('NGO Research Database'!G5:G14,"&gt;="&amp;1970,'NGO Research Database'!G5:G14,"&lt;="&amp;1979)</f>
        <v>3</v>
      </c>
    </row>
    <row r="29" customFormat="false" ht="15" hidden="false" customHeight="false" outlineLevel="0" collapsed="false">
      <c r="A29" s="0" t="s">
        <v>234</v>
      </c>
      <c r="B29" s="0" t="n">
        <f aca="false">COUNTIFS('NGO Research Database'!G5:G14,"&gt;="&amp;1990,'NGO Research Database'!G5:G14,"&lt;="&amp;1999)</f>
        <v>2</v>
      </c>
    </row>
    <row r="30" customFormat="false" ht="15" hidden="false" customHeight="false" outlineLevel="0" collapsed="false">
      <c r="A30" s="0" t="s">
        <v>235</v>
      </c>
      <c r="B30" s="0" t="n">
        <f aca="false">COUNTIFS('NGO Research Database'!G5:G14,"&gt;="&amp;2000,'NGO Research Database'!G5:G14,"&lt;="&amp;2009)</f>
        <v>3</v>
      </c>
    </row>
    <row r="33" customFormat="false" ht="15" hidden="false" customHeight="false" outlineLevel="0" collapsed="false">
      <c r="A33" s="13" t="s">
        <v>236</v>
      </c>
      <c r="B33" s="0" t="str">
        <f aca="false">INDEX('NGO Research Database'!B5:B14,MATCH(MIN('NGO Research Database'!G5:G14),'NGO Research Database'!G5:G14,0))</f>
        <v>CARE India</v>
      </c>
    </row>
    <row r="34" customFormat="false" ht="15" hidden="false" customHeight="false" outlineLevel="0" collapsed="false">
      <c r="A34" s="13" t="s">
        <v>237</v>
      </c>
      <c r="B34" s="0" t="str">
        <f aca="false">INDEX('NGO Research Database'!B5:B14,MATCH(MAX('NGO Research Database'!G5:G14),'NGO Research Database'!G5:G14,0))</f>
        <v>Smile Foundation</v>
      </c>
    </row>
    <row r="35" customFormat="false" ht="15" hidden="false" customHeight="false" outlineLevel="0" collapsed="false">
      <c r="A35" s="13" t="s">
        <v>238</v>
      </c>
      <c r="B35" s="14" t="n">
        <f aca="false">2026-AVERAGE('NGO Research Database'!G5:G14)</f>
        <v>42</v>
      </c>
    </row>
    <row r="37" customFormat="false" ht="21.75" hidden="false" customHeight="true" outlineLevel="0" collapsed="false">
      <c r="A37" s="10" t="s">
        <v>239</v>
      </c>
      <c r="B37" s="10"/>
    </row>
    <row r="38" customFormat="false" ht="15" hidden="false" customHeight="false" outlineLevel="0" collapsed="false">
      <c r="A38" s="13" t="s">
        <v>240</v>
      </c>
      <c r="B38" s="13" t="s">
        <v>241</v>
      </c>
    </row>
    <row r="39" customFormat="false" ht="15" hidden="false" customHeight="false" outlineLevel="0" collapsed="false">
      <c r="A39" s="0" t="s">
        <v>242</v>
      </c>
      <c r="B39" s="0" t="n">
        <f aca="false">COUNTIF('NGO Research Database'!K5:K14,"*"&amp;A39&amp;"*")</f>
        <v>5</v>
      </c>
    </row>
    <row r="40" customFormat="false" ht="15" hidden="false" customHeight="false" outlineLevel="0" collapsed="false">
      <c r="A40" s="0" t="s">
        <v>243</v>
      </c>
      <c r="B40" s="0" t="n">
        <f aca="false">COUNTIF('NGO Research Database'!K5:K14,"*"&amp;A40&amp;"*")</f>
        <v>2</v>
      </c>
    </row>
    <row r="41" customFormat="false" ht="15" hidden="false" customHeight="false" outlineLevel="0" collapsed="false">
      <c r="A41" s="0" t="s">
        <v>244</v>
      </c>
      <c r="B41" s="0" t="n">
        <f aca="false">COUNTIF('NGO Research Database'!K5:K14,"*"&amp;A41&amp;"*")</f>
        <v>4</v>
      </c>
    </row>
    <row r="42" customFormat="false" ht="15" hidden="false" customHeight="false" outlineLevel="0" collapsed="false">
      <c r="A42" s="0" t="s">
        <v>245</v>
      </c>
      <c r="B42" s="0" t="n">
        <f aca="false">COUNTIF('NGO Research Database'!K5:K14,"*"&amp;A42&amp;"*")</f>
        <v>3</v>
      </c>
    </row>
    <row r="43" customFormat="false" ht="15" hidden="false" customHeight="false" outlineLevel="0" collapsed="false">
      <c r="A43" s="0" t="s">
        <v>246</v>
      </c>
      <c r="B43" s="0" t="n">
        <f aca="false">COUNTIF('NGO Research Database'!K5:K14,"*"&amp;A43&amp;"*")</f>
        <v>1</v>
      </c>
    </row>
    <row r="44" customFormat="false" ht="15" hidden="false" customHeight="false" outlineLevel="0" collapsed="false">
      <c r="A44" s="0" t="s">
        <v>247</v>
      </c>
      <c r="B44" s="0" t="n">
        <f aca="false">COUNTIF('NGO Research Database'!K5:K14,"*"&amp;A44&amp;"*")</f>
        <v>1</v>
      </c>
    </row>
    <row r="45" customFormat="false" ht="15" hidden="false" customHeight="false" outlineLevel="0" collapsed="false">
      <c r="A45" s="0" t="s">
        <v>248</v>
      </c>
      <c r="B45" s="0" t="n">
        <f aca="false">COUNTIF('NGO Research Database'!K5:K14,"*"&amp;A45&amp;"*")</f>
        <v>1</v>
      </c>
    </row>
    <row r="46" customFormat="false" ht="15" hidden="false" customHeight="false" outlineLevel="0" collapsed="false">
      <c r="A46" s="0" t="s">
        <v>249</v>
      </c>
      <c r="B46" s="0" t="n">
        <f aca="false">COUNTIF('NGO Research Database'!K5:K14,"*"&amp;A46&amp;"*")</f>
        <v>0</v>
      </c>
    </row>
    <row r="47" customFormat="false" ht="15" hidden="false" customHeight="false" outlineLevel="0" collapsed="false">
      <c r="A47" s="0" t="s">
        <v>250</v>
      </c>
      <c r="B47" s="0" t="n">
        <f aca="false">COUNTIF('NGO Research Database'!K5:K14,"*"&amp;A47&amp;"*")</f>
        <v>1</v>
      </c>
    </row>
    <row r="48" customFormat="false" ht="15" hidden="false" customHeight="false" outlineLevel="0" collapsed="false">
      <c r="A48" s="0" t="s">
        <v>251</v>
      </c>
      <c r="B48" s="0" t="n">
        <f aca="false">COUNTIF('NGO Research Database'!K5:K14,"*"&amp;A48&amp;"*")</f>
        <v>1</v>
      </c>
    </row>
    <row r="49" customFormat="false" ht="15" hidden="false" customHeight="false" outlineLevel="0" collapsed="false">
      <c r="A49" s="0" t="s">
        <v>252</v>
      </c>
      <c r="B49" s="0" t="n">
        <f aca="false">COUNTIF('NGO Research Database'!K5:K14,"*"&amp;A49&amp;"*")</f>
        <v>2</v>
      </c>
    </row>
    <row r="50" customFormat="false" ht="15" hidden="false" customHeight="false" outlineLevel="0" collapsed="false">
      <c r="A50" s="0" t="s">
        <v>253</v>
      </c>
      <c r="B50" s="0" t="n">
        <f aca="false">COUNTIF('NGO Research Database'!K5:K14,"*"&amp;A50&amp;"*")</f>
        <v>1</v>
      </c>
    </row>
    <row r="53" customFormat="false" ht="21.75" hidden="false" customHeight="true" outlineLevel="0" collapsed="false">
      <c r="A53" s="10" t="s">
        <v>254</v>
      </c>
      <c r="B53" s="10"/>
    </row>
    <row r="54" customFormat="false" ht="15" hidden="false" customHeight="false" outlineLevel="0" collapsed="false">
      <c r="A54" s="13" t="s">
        <v>255</v>
      </c>
      <c r="B54" s="13" t="s">
        <v>256</v>
      </c>
    </row>
    <row r="55" customFormat="false" ht="15" hidden="false" customHeight="false" outlineLevel="0" collapsed="false">
      <c r="A55" s="0" t="n">
        <v>1</v>
      </c>
      <c r="B55" s="0" t="str">
        <f aca="false">INDEX($A$39:$A$50,MATCH(LARGE($B$39:$B$50,1),$B$39:$B$50,0))</f>
        <v>Education</v>
      </c>
    </row>
    <row r="56" customFormat="false" ht="15" hidden="false" customHeight="false" outlineLevel="0" collapsed="false">
      <c r="A56" s="0" t="n">
        <v>2</v>
      </c>
      <c r="B56" s="0" t="str">
        <f aca="false">INDEX($A$39:$A$50,MATCH(LARGE($B$39:$B$50,2),$B$39:$B$50,0))</f>
        <v>Health</v>
      </c>
    </row>
    <row r="57" customFormat="false" ht="15" hidden="false" customHeight="false" outlineLevel="0" collapsed="false">
      <c r="A57" s="0" t="n">
        <v>3</v>
      </c>
      <c r="B57" s="0" t="str">
        <f aca="false">INDEX($A$39:$A$50,MATCH(LARGE($B$39:$B$50,3),$B$39:$B$50,0))</f>
        <v>Livelihood</v>
      </c>
    </row>
    <row r="58" customFormat="false" ht="15" hidden="false" customHeight="false" outlineLevel="0" collapsed="false">
      <c r="A58" s="0" t="n">
        <v>4</v>
      </c>
      <c r="B58" s="0" t="str">
        <f aca="false">INDEX($A$39:$A$50,MATCH(LARGE($B$39:$B$50,4),$B$39:$B$50,0))</f>
        <v>Healthcare</v>
      </c>
    </row>
    <row r="59" customFormat="false" ht="15" hidden="false" customHeight="false" outlineLevel="0" collapsed="false">
      <c r="A59" s="0" t="n">
        <v>5</v>
      </c>
      <c r="B59" s="0" t="str">
        <f aca="false">INDEX($A$39:$A$50,MATCH(LARGE($B$39:$B$50,5),$B$39:$B$50,0))</f>
        <v>Healthcare</v>
      </c>
    </row>
    <row r="61" customFormat="false" ht="21.75" hidden="false" customHeight="true" outlineLevel="0" collapsed="false">
      <c r="A61" s="10" t="s">
        <v>257</v>
      </c>
      <c r="B61" s="10"/>
    </row>
    <row r="62" customFormat="false" ht="15" hidden="false" customHeight="false" outlineLevel="0" collapsed="false">
      <c r="A62" s="13" t="s">
        <v>258</v>
      </c>
      <c r="B62" s="13" t="s">
        <v>259</v>
      </c>
    </row>
    <row r="63" customFormat="false" ht="15" hidden="false" customHeight="false" outlineLevel="0" collapsed="false">
      <c r="A63" s="0" t="s">
        <v>260</v>
      </c>
      <c r="B63" s="0" t="n">
        <v>3</v>
      </c>
    </row>
    <row r="64" customFormat="false" ht="15" hidden="false" customHeight="false" outlineLevel="0" collapsed="false">
      <c r="A64" s="0" t="s">
        <v>261</v>
      </c>
      <c r="B64" s="0" t="n">
        <v>3</v>
      </c>
    </row>
    <row r="65" customFormat="false" ht="15" hidden="false" customHeight="false" outlineLevel="0" collapsed="false">
      <c r="A65" s="0" t="s">
        <v>35</v>
      </c>
      <c r="B65" s="0" t="n">
        <v>3</v>
      </c>
    </row>
    <row r="66" customFormat="false" ht="15" hidden="false" customHeight="false" outlineLevel="0" collapsed="false">
      <c r="A66" s="0" t="s">
        <v>262</v>
      </c>
      <c r="B66" s="0" t="n">
        <v>3</v>
      </c>
    </row>
    <row r="67" customFormat="false" ht="15" hidden="false" customHeight="false" outlineLevel="0" collapsed="false">
      <c r="A67" s="0" t="s">
        <v>263</v>
      </c>
      <c r="B67" s="0" t="n">
        <v>3</v>
      </c>
    </row>
    <row r="68" customFormat="false" ht="15" hidden="false" customHeight="false" outlineLevel="0" collapsed="false">
      <c r="A68" s="0" t="s">
        <v>242</v>
      </c>
      <c r="B68" s="0" t="n">
        <v>2</v>
      </c>
    </row>
    <row r="69" customFormat="false" ht="15" hidden="false" customHeight="false" outlineLevel="0" collapsed="false">
      <c r="A69" s="0" t="s">
        <v>264</v>
      </c>
      <c r="B69" s="0" t="n">
        <v>2</v>
      </c>
    </row>
    <row r="70" customFormat="false" ht="15" hidden="false" customHeight="false" outlineLevel="0" collapsed="false">
      <c r="A70" s="0" t="s">
        <v>265</v>
      </c>
      <c r="B70" s="0" t="n">
        <v>2</v>
      </c>
    </row>
    <row r="71" customFormat="false" ht="15" hidden="false" customHeight="false" outlineLevel="0" collapsed="false">
      <c r="A71" s="0" t="s">
        <v>266</v>
      </c>
      <c r="B71" s="0" t="n">
        <v>2</v>
      </c>
    </row>
    <row r="72" customFormat="false" ht="15" hidden="false" customHeight="false" outlineLevel="0" collapsed="false">
      <c r="A72" s="0" t="s">
        <v>267</v>
      </c>
      <c r="B72" s="0" t="n">
        <v>2</v>
      </c>
    </row>
    <row r="75" customFormat="false" ht="21.75" hidden="false" customHeight="true" outlineLevel="0" collapsed="false">
      <c r="A75" s="10" t="s">
        <v>268</v>
      </c>
      <c r="B75" s="10"/>
      <c r="C75" s="10"/>
      <c r="D75" s="10"/>
      <c r="E75" s="10"/>
      <c r="F75" s="10"/>
    </row>
    <row r="76" customFormat="false" ht="27.75" hidden="false" customHeight="true" outlineLevel="0" collapsed="false">
      <c r="A76" s="15" t="s">
        <v>269</v>
      </c>
      <c r="B76" s="15"/>
      <c r="C76" s="15"/>
      <c r="D76" s="15"/>
      <c r="E76" s="15"/>
      <c r="F76" s="15"/>
      <c r="G76" s="15"/>
      <c r="H76" s="15"/>
    </row>
    <row r="77" customFormat="false" ht="27.75" hidden="false" customHeight="true" outlineLevel="0" collapsed="false">
      <c r="A77" s="15" t="s">
        <v>270</v>
      </c>
      <c r="B77" s="15"/>
      <c r="C77" s="15"/>
      <c r="D77" s="15"/>
      <c r="E77" s="15"/>
      <c r="F77" s="15"/>
      <c r="G77" s="15"/>
      <c r="H77" s="15"/>
    </row>
    <row r="78" customFormat="false" ht="27.75" hidden="false" customHeight="true" outlineLevel="0" collapsed="false">
      <c r="A78" s="15" t="s">
        <v>271</v>
      </c>
      <c r="B78" s="15"/>
      <c r="C78" s="15"/>
      <c r="D78" s="15"/>
      <c r="E78" s="15"/>
      <c r="F78" s="15"/>
      <c r="G78" s="15"/>
      <c r="H78" s="15"/>
    </row>
    <row r="79" customFormat="false" ht="27.75" hidden="false" customHeight="true" outlineLevel="0" collapsed="false">
      <c r="A79" s="15" t="s">
        <v>272</v>
      </c>
      <c r="B79" s="15"/>
      <c r="C79" s="15"/>
      <c r="D79" s="15"/>
      <c r="E79" s="15"/>
      <c r="F79" s="15"/>
      <c r="G79" s="15"/>
      <c r="H79" s="15"/>
    </row>
    <row r="80" customFormat="false" ht="27.75" hidden="false" customHeight="true" outlineLevel="0" collapsed="false">
      <c r="A80" s="15" t="s">
        <v>273</v>
      </c>
      <c r="B80" s="15"/>
      <c r="C80" s="15"/>
      <c r="D80" s="15"/>
      <c r="E80" s="15"/>
      <c r="F80" s="15"/>
      <c r="G80" s="15"/>
      <c r="H80" s="15"/>
    </row>
    <row r="81" customFormat="false" ht="27.75" hidden="false" customHeight="true" outlineLevel="0" collapsed="false">
      <c r="A81" s="15" t="s">
        <v>274</v>
      </c>
      <c r="B81" s="15"/>
      <c r="C81" s="15"/>
      <c r="D81" s="15"/>
      <c r="E81" s="15"/>
      <c r="F81" s="15"/>
      <c r="G81" s="15"/>
      <c r="H81" s="15"/>
    </row>
    <row r="83" customFormat="false" ht="21.75" hidden="false" customHeight="true" outlineLevel="0" collapsed="false">
      <c r="A83" s="10" t="s">
        <v>275</v>
      </c>
      <c r="B83" s="10"/>
      <c r="C83" s="10"/>
      <c r="D83" s="10"/>
      <c r="E83" s="10"/>
      <c r="F83" s="10"/>
    </row>
    <row r="84" customFormat="false" ht="27.75" hidden="false" customHeight="true" outlineLevel="0" collapsed="false">
      <c r="A84" s="15" t="s">
        <v>276</v>
      </c>
      <c r="B84" s="15"/>
      <c r="C84" s="15"/>
      <c r="D84" s="15"/>
      <c r="E84" s="15"/>
      <c r="F84" s="15"/>
      <c r="G84" s="15"/>
      <c r="H84" s="15"/>
    </row>
    <row r="85" customFormat="false" ht="27.75" hidden="false" customHeight="true" outlineLevel="0" collapsed="false">
      <c r="A85" s="15" t="s">
        <v>277</v>
      </c>
      <c r="B85" s="15"/>
      <c r="C85" s="15"/>
      <c r="D85" s="15"/>
      <c r="E85" s="15"/>
      <c r="F85" s="15"/>
      <c r="G85" s="15"/>
      <c r="H85" s="15"/>
    </row>
    <row r="86" customFormat="false" ht="27.75" hidden="false" customHeight="true" outlineLevel="0" collapsed="false">
      <c r="A86" s="15" t="s">
        <v>278</v>
      </c>
      <c r="B86" s="15"/>
      <c r="C86" s="15"/>
      <c r="D86" s="15"/>
      <c r="E86" s="15"/>
      <c r="F86" s="15"/>
      <c r="G86" s="15"/>
      <c r="H86" s="15"/>
    </row>
    <row r="87" customFormat="false" ht="27.75" hidden="false" customHeight="true" outlineLevel="0" collapsed="false">
      <c r="A87" s="15" t="s">
        <v>279</v>
      </c>
      <c r="B87" s="15"/>
      <c r="C87" s="15"/>
      <c r="D87" s="15"/>
      <c r="E87" s="15"/>
      <c r="F87" s="15"/>
      <c r="G87" s="15"/>
      <c r="H87" s="15"/>
    </row>
    <row r="88" customFormat="false" ht="27.75" hidden="false" customHeight="true" outlineLevel="0" collapsed="false">
      <c r="A88" s="15" t="s">
        <v>280</v>
      </c>
      <c r="B88" s="15"/>
      <c r="C88" s="15"/>
      <c r="D88" s="15"/>
      <c r="E88" s="15"/>
      <c r="F88" s="15"/>
      <c r="G88" s="15"/>
      <c r="H88" s="15"/>
    </row>
    <row r="90" customFormat="false" ht="21.75" hidden="false" customHeight="true" outlineLevel="0" collapsed="false">
      <c r="A90" s="10" t="s">
        <v>281</v>
      </c>
      <c r="B90" s="10"/>
      <c r="C90" s="10"/>
      <c r="D90" s="10"/>
      <c r="E90" s="10"/>
      <c r="F90" s="10"/>
    </row>
    <row r="91" customFormat="false" ht="19.5" hidden="false" customHeight="true" outlineLevel="0" collapsed="false">
      <c r="A91" s="16" t="s">
        <v>282</v>
      </c>
      <c r="B91" s="16"/>
      <c r="C91" s="16"/>
      <c r="D91" s="16"/>
      <c r="E91" s="16"/>
      <c r="F91" s="16"/>
      <c r="G91" s="16"/>
      <c r="H91" s="16"/>
    </row>
    <row r="92" customFormat="false" ht="19.5" hidden="false" customHeight="true" outlineLevel="0" collapsed="false">
      <c r="A92" s="16"/>
      <c r="B92" s="16"/>
      <c r="C92" s="16"/>
      <c r="D92" s="16"/>
      <c r="E92" s="16"/>
      <c r="F92" s="16"/>
      <c r="G92" s="16"/>
      <c r="H92" s="16"/>
    </row>
    <row r="93" customFormat="false" ht="19.5" hidden="false" customHeight="true" outlineLevel="0" collapsed="false">
      <c r="A93" s="16"/>
      <c r="B93" s="16"/>
      <c r="C93" s="16"/>
      <c r="D93" s="16"/>
      <c r="E93" s="16"/>
      <c r="F93" s="16"/>
      <c r="G93" s="16"/>
      <c r="H93" s="16"/>
    </row>
    <row r="94" customFormat="false" ht="19.5" hidden="false" customHeight="true" outlineLevel="0" collapsed="false">
      <c r="A94" s="16"/>
      <c r="B94" s="16"/>
      <c r="C94" s="16"/>
      <c r="D94" s="16"/>
      <c r="E94" s="16"/>
      <c r="F94" s="16"/>
      <c r="G94" s="16"/>
      <c r="H94" s="16"/>
    </row>
  </sheetData>
  <mergeCells count="23">
    <mergeCell ref="A1:H1"/>
    <mergeCell ref="A3:B3"/>
    <mergeCell ref="A6:B6"/>
    <mergeCell ref="A17:B17"/>
    <mergeCell ref="A24:B24"/>
    <mergeCell ref="A37:B37"/>
    <mergeCell ref="A53:B53"/>
    <mergeCell ref="A61:B61"/>
    <mergeCell ref="A75:F75"/>
    <mergeCell ref="A76:H76"/>
    <mergeCell ref="A77:H77"/>
    <mergeCell ref="A78:H78"/>
    <mergeCell ref="A79:H79"/>
    <mergeCell ref="A80:H80"/>
    <mergeCell ref="A81:H81"/>
    <mergeCell ref="A83:F83"/>
    <mergeCell ref="A84:H84"/>
    <mergeCell ref="A85:H85"/>
    <mergeCell ref="A86:H86"/>
    <mergeCell ref="A87:H87"/>
    <mergeCell ref="A88:H88"/>
    <mergeCell ref="A90:F90"/>
    <mergeCell ref="A91:H9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5" min="2" style="0" width="14"/>
    <col collapsed="false" customWidth="true" hidden="false" outlineLevel="0" max="6" min="6" style="0" width="3"/>
    <col collapsed="false" customWidth="true" hidden="false" outlineLevel="0" max="10" min="7" style="0" width="14"/>
    <col collapsed="false" customWidth="true" hidden="false" outlineLevel="0" max="11" min="11" style="0" width="3"/>
    <col collapsed="false" customWidth="true" hidden="false" outlineLevel="0" max="13" min="12" style="0" width="14"/>
  </cols>
  <sheetData>
    <row r="1" customFormat="false" ht="25.5" hidden="false" customHeight="true" outlineLevel="0" collapsed="false">
      <c r="A1" s="17" t="s">
        <v>283</v>
      </c>
      <c r="B1" s="17"/>
      <c r="C1" s="17"/>
      <c r="D1" s="17"/>
      <c r="E1" s="17"/>
      <c r="F1" s="17"/>
      <c r="G1" s="17"/>
      <c r="H1" s="17"/>
      <c r="I1" s="17"/>
      <c r="J1" s="17"/>
      <c r="K1" s="17"/>
      <c r="L1" s="17"/>
      <c r="M1" s="17"/>
    </row>
    <row r="2" customFormat="false" ht="25.5" hidden="false" customHeight="true" outlineLevel="0" collapsed="false">
      <c r="A2" s="17"/>
      <c r="B2" s="17"/>
      <c r="C2" s="17"/>
      <c r="D2" s="17"/>
      <c r="E2" s="17"/>
      <c r="F2" s="17"/>
      <c r="G2" s="17"/>
      <c r="H2" s="17"/>
      <c r="I2" s="17"/>
      <c r="J2" s="17"/>
      <c r="K2" s="17"/>
      <c r="L2" s="17"/>
      <c r="M2" s="17"/>
    </row>
    <row r="3" customFormat="false" ht="19.5" hidden="false" customHeight="true" outlineLevel="0" collapsed="false">
      <c r="A3" s="18" t="s">
        <v>284</v>
      </c>
      <c r="B3" s="18"/>
      <c r="C3" s="18"/>
      <c r="D3" s="18"/>
      <c r="E3" s="18"/>
      <c r="F3" s="18"/>
      <c r="G3" s="18"/>
      <c r="H3" s="18"/>
      <c r="I3" s="18"/>
      <c r="J3" s="18"/>
      <c r="K3" s="18"/>
      <c r="L3" s="18"/>
      <c r="M3" s="18"/>
    </row>
    <row r="5" customFormat="false" ht="15.75" hidden="false" customHeight="true" outlineLevel="0" collapsed="false">
      <c r="B5" s="19" t="s">
        <v>285</v>
      </c>
      <c r="C5" s="19"/>
      <c r="E5" s="20" t="s">
        <v>286</v>
      </c>
      <c r="F5" s="20"/>
      <c r="H5" s="21" t="s">
        <v>287</v>
      </c>
      <c r="I5" s="21"/>
      <c r="K5" s="22" t="s">
        <v>288</v>
      </c>
      <c r="L5" s="22"/>
    </row>
    <row r="6" customFormat="false" ht="15.75" hidden="false" customHeight="true" outlineLevel="0" collapsed="false">
      <c r="B6" s="19"/>
      <c r="C6" s="19"/>
      <c r="E6" s="20"/>
      <c r="F6" s="20"/>
      <c r="H6" s="21"/>
      <c r="I6" s="21"/>
      <c r="K6" s="22"/>
      <c r="L6" s="22"/>
    </row>
    <row r="7" customFormat="false" ht="15.75" hidden="false" customHeight="true" outlineLevel="0" collapsed="false">
      <c r="B7" s="19"/>
      <c r="C7" s="19"/>
      <c r="E7" s="20"/>
      <c r="F7" s="20"/>
      <c r="H7" s="21"/>
      <c r="I7" s="21"/>
      <c r="K7" s="22"/>
      <c r="L7" s="22"/>
    </row>
    <row r="8" customFormat="false" ht="15.75" hidden="false" customHeight="true" outlineLevel="0" collapsed="false">
      <c r="B8" s="19"/>
      <c r="C8" s="19"/>
      <c r="E8" s="20"/>
      <c r="F8" s="20"/>
      <c r="H8" s="21"/>
      <c r="I8" s="21"/>
      <c r="K8" s="22"/>
      <c r="L8" s="22"/>
    </row>
    <row r="9" customFormat="false" ht="15.75" hidden="false" customHeight="true" outlineLevel="0" collapsed="false">
      <c r="B9" s="23" t="n">
        <f aca="false">'Data Analysis'!B4</f>
        <v>10</v>
      </c>
      <c r="C9" s="23"/>
      <c r="E9" s="24" t="n">
        <f aca="false">SUMPRODUCT(('Data Analysis'!B19:B22&gt;0)*1)</f>
        <v>4</v>
      </c>
      <c r="F9" s="24"/>
      <c r="H9" s="25" t="n">
        <f aca="false">SUMPRODUCT(('Data Analysis'!B39:B50&gt;0)*1)</f>
        <v>11</v>
      </c>
      <c r="I9" s="25"/>
      <c r="K9" s="26" t="n">
        <f aca="false">SUMPRODUCT(('Data Analysis'!B8:B15&gt;0)*1)</f>
        <v>8</v>
      </c>
      <c r="L9" s="26"/>
    </row>
    <row r="10" customFormat="false" ht="15.75" hidden="false" customHeight="true" outlineLevel="0" collapsed="false">
      <c r="B10" s="23"/>
      <c r="C10" s="23"/>
      <c r="E10" s="24"/>
      <c r="F10" s="24"/>
      <c r="H10" s="25"/>
      <c r="I10" s="25"/>
      <c r="K10" s="26"/>
      <c r="L10" s="26"/>
    </row>
  </sheetData>
  <mergeCells count="10">
    <mergeCell ref="A1:M2"/>
    <mergeCell ref="A3:M3"/>
    <mergeCell ref="B5:C8"/>
    <mergeCell ref="E5:F8"/>
    <mergeCell ref="H5:I8"/>
    <mergeCell ref="K5:L8"/>
    <mergeCell ref="B9:C10"/>
    <mergeCell ref="E9:F10"/>
    <mergeCell ref="H9:I10"/>
    <mergeCell ref="K9:L10"/>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55"/>
    <col collapsed="false" customWidth="true" hidden="false" outlineLevel="0" max="3" min="3" style="0" width="14"/>
    <col collapsed="false" customWidth="true" hidden="false" outlineLevel="0" max="4" min="4" style="0" width="34"/>
  </cols>
  <sheetData>
    <row r="1" customFormat="false" ht="30" hidden="false" customHeight="true" outlineLevel="0" collapsed="false">
      <c r="A1" s="1" t="s">
        <v>289</v>
      </c>
      <c r="B1" s="1"/>
      <c r="C1" s="1"/>
      <c r="D1" s="1"/>
    </row>
    <row r="3" customFormat="false" ht="30" hidden="false" customHeight="true" outlineLevel="0" collapsed="false">
      <c r="A3" s="3" t="s">
        <v>290</v>
      </c>
      <c r="B3" s="3" t="s">
        <v>291</v>
      </c>
      <c r="C3" s="3" t="s">
        <v>292</v>
      </c>
      <c r="D3" s="3" t="s">
        <v>293</v>
      </c>
    </row>
    <row r="4" customFormat="false" ht="30" hidden="false" customHeight="true" outlineLevel="0" collapsed="false">
      <c r="A4" s="27" t="s">
        <v>2</v>
      </c>
      <c r="B4" s="28" t="s">
        <v>294</v>
      </c>
      <c r="C4" s="28" t="s">
        <v>295</v>
      </c>
      <c r="D4" s="28" t="s">
        <v>296</v>
      </c>
    </row>
    <row r="5" customFormat="false" ht="30" hidden="false" customHeight="true" outlineLevel="0" collapsed="false">
      <c r="A5" s="29" t="s">
        <v>3</v>
      </c>
      <c r="B5" s="30" t="s">
        <v>297</v>
      </c>
      <c r="C5" s="30" t="s">
        <v>298</v>
      </c>
      <c r="D5" s="30" t="s">
        <v>4</v>
      </c>
    </row>
    <row r="6" customFormat="false" ht="30" hidden="false" customHeight="true" outlineLevel="0" collapsed="false">
      <c r="A6" s="27" t="s">
        <v>4</v>
      </c>
      <c r="B6" s="28" t="s">
        <v>299</v>
      </c>
      <c r="C6" s="28" t="s">
        <v>300</v>
      </c>
      <c r="D6" s="28" t="s">
        <v>4</v>
      </c>
    </row>
    <row r="7" customFormat="false" ht="30" hidden="false" customHeight="true" outlineLevel="0" collapsed="false">
      <c r="A7" s="29" t="s">
        <v>5</v>
      </c>
      <c r="B7" s="30" t="s">
        <v>301</v>
      </c>
      <c r="C7" s="30" t="s">
        <v>298</v>
      </c>
      <c r="D7" s="30" t="s">
        <v>302</v>
      </c>
    </row>
    <row r="8" customFormat="false" ht="30" hidden="false" customHeight="true" outlineLevel="0" collapsed="false">
      <c r="A8" s="27" t="s">
        <v>6</v>
      </c>
      <c r="B8" s="28" t="s">
        <v>303</v>
      </c>
      <c r="C8" s="28" t="s">
        <v>298</v>
      </c>
      <c r="D8" s="28" t="s">
        <v>302</v>
      </c>
    </row>
    <row r="9" customFormat="false" ht="30" hidden="false" customHeight="true" outlineLevel="0" collapsed="false">
      <c r="A9" s="29" t="s">
        <v>7</v>
      </c>
      <c r="B9" s="30" t="s">
        <v>304</v>
      </c>
      <c r="C9" s="30" t="s">
        <v>298</v>
      </c>
      <c r="D9" s="30" t="s">
        <v>4</v>
      </c>
    </row>
    <row r="10" customFormat="false" ht="30" hidden="false" customHeight="true" outlineLevel="0" collapsed="false">
      <c r="A10" s="27" t="s">
        <v>8</v>
      </c>
      <c r="B10" s="28" t="s">
        <v>305</v>
      </c>
      <c r="C10" s="28" t="s">
        <v>306</v>
      </c>
      <c r="D10" s="28" t="s">
        <v>302</v>
      </c>
    </row>
    <row r="11" customFormat="false" ht="30" hidden="false" customHeight="true" outlineLevel="0" collapsed="false">
      <c r="A11" s="29" t="s">
        <v>9</v>
      </c>
      <c r="B11" s="30" t="s">
        <v>307</v>
      </c>
      <c r="C11" s="30" t="s">
        <v>298</v>
      </c>
      <c r="D11" s="30" t="s">
        <v>302</v>
      </c>
    </row>
    <row r="12" customFormat="false" ht="30" hidden="false" customHeight="true" outlineLevel="0" collapsed="false">
      <c r="A12" s="27" t="s">
        <v>10</v>
      </c>
      <c r="B12" s="28" t="s">
        <v>308</v>
      </c>
      <c r="C12" s="28" t="s">
        <v>298</v>
      </c>
      <c r="D12" s="28" t="s">
        <v>309</v>
      </c>
    </row>
    <row r="13" customFormat="false" ht="30" hidden="false" customHeight="true" outlineLevel="0" collapsed="false">
      <c r="A13" s="29" t="s">
        <v>11</v>
      </c>
      <c r="B13" s="30" t="s">
        <v>310</v>
      </c>
      <c r="C13" s="30" t="s">
        <v>311</v>
      </c>
      <c r="D13" s="30" t="s">
        <v>312</v>
      </c>
    </row>
    <row r="14" customFormat="false" ht="30" hidden="false" customHeight="true" outlineLevel="0" collapsed="false">
      <c r="A14" s="27" t="s">
        <v>12</v>
      </c>
      <c r="B14" s="28" t="s">
        <v>313</v>
      </c>
      <c r="C14" s="28" t="s">
        <v>311</v>
      </c>
      <c r="D14" s="28" t="s">
        <v>4</v>
      </c>
    </row>
    <row r="15" customFormat="false" ht="30" hidden="false" customHeight="true" outlineLevel="0" collapsed="false">
      <c r="A15" s="29" t="s">
        <v>13</v>
      </c>
      <c r="B15" s="30" t="s">
        <v>314</v>
      </c>
      <c r="C15" s="30" t="s">
        <v>315</v>
      </c>
      <c r="D15" s="30" t="s">
        <v>4</v>
      </c>
    </row>
    <row r="16" customFormat="false" ht="30" hidden="false" customHeight="true" outlineLevel="0" collapsed="false">
      <c r="A16" s="27" t="s">
        <v>14</v>
      </c>
      <c r="B16" s="28" t="s">
        <v>316</v>
      </c>
      <c r="C16" s="28" t="s">
        <v>315</v>
      </c>
      <c r="D16" s="28" t="s">
        <v>4</v>
      </c>
    </row>
    <row r="17" customFormat="false" ht="30" hidden="false" customHeight="true" outlineLevel="0" collapsed="false">
      <c r="A17" s="29" t="s">
        <v>15</v>
      </c>
      <c r="B17" s="30" t="s">
        <v>317</v>
      </c>
      <c r="C17" s="30" t="s">
        <v>318</v>
      </c>
      <c r="D17" s="30" t="s">
        <v>4</v>
      </c>
    </row>
    <row r="18" customFormat="false" ht="30" hidden="false" customHeight="true" outlineLevel="0" collapsed="false">
      <c r="A18" s="27" t="s">
        <v>16</v>
      </c>
      <c r="B18" s="28" t="s">
        <v>319</v>
      </c>
      <c r="C18" s="28" t="s">
        <v>318</v>
      </c>
      <c r="D18" s="28" t="s">
        <v>320</v>
      </c>
    </row>
    <row r="19" customFormat="false" ht="30" hidden="false" customHeight="true" outlineLevel="0" collapsed="false">
      <c r="A19" s="29" t="s">
        <v>17</v>
      </c>
      <c r="B19" s="30" t="s">
        <v>321</v>
      </c>
      <c r="C19" s="30" t="s">
        <v>298</v>
      </c>
      <c r="D19" s="30" t="s">
        <v>4</v>
      </c>
    </row>
    <row r="20" customFormat="false" ht="30" hidden="false" customHeight="true" outlineLevel="0" collapsed="false">
      <c r="A20" s="27" t="s">
        <v>18</v>
      </c>
      <c r="B20" s="28" t="s">
        <v>322</v>
      </c>
      <c r="C20" s="28" t="s">
        <v>298</v>
      </c>
      <c r="D20" s="28" t="s">
        <v>302</v>
      </c>
    </row>
    <row r="21" customFormat="false" ht="30" hidden="false" customHeight="true" outlineLevel="0" collapsed="false">
      <c r="A21" s="29" t="s">
        <v>19</v>
      </c>
      <c r="B21" s="30" t="s">
        <v>323</v>
      </c>
      <c r="C21" s="30" t="s">
        <v>298</v>
      </c>
      <c r="D21" s="30" t="s">
        <v>324</v>
      </c>
    </row>
    <row r="22" customFormat="false" ht="30" hidden="false" customHeight="true" outlineLevel="0" collapsed="false">
      <c r="A22" s="27" t="s">
        <v>20</v>
      </c>
      <c r="B22" s="28" t="s">
        <v>325</v>
      </c>
      <c r="C22" s="28" t="s">
        <v>318</v>
      </c>
      <c r="D22" s="28" t="s">
        <v>326</v>
      </c>
    </row>
    <row r="23" customFormat="false" ht="30" hidden="false" customHeight="true" outlineLevel="0" collapsed="false">
      <c r="A23" s="29" t="s">
        <v>21</v>
      </c>
      <c r="B23" s="30" t="s">
        <v>327</v>
      </c>
      <c r="C23" s="30" t="s">
        <v>328</v>
      </c>
      <c r="D23" s="30" t="s">
        <v>329</v>
      </c>
    </row>
    <row r="24" customFormat="false" ht="30" hidden="false" customHeight="true" outlineLevel="0" collapsed="false">
      <c r="A24" s="27" t="s">
        <v>22</v>
      </c>
      <c r="B24" s="28" t="s">
        <v>330</v>
      </c>
      <c r="C24" s="28" t="s">
        <v>331</v>
      </c>
      <c r="D24" s="28" t="s">
        <v>4</v>
      </c>
    </row>
    <row r="25" customFormat="false" ht="30" hidden="false" customHeight="true" outlineLevel="0" collapsed="false">
      <c r="A25" s="29" t="s">
        <v>23</v>
      </c>
      <c r="B25" s="30" t="s">
        <v>332</v>
      </c>
      <c r="C25" s="30" t="s">
        <v>333</v>
      </c>
      <c r="D25" s="30" t="s">
        <v>4</v>
      </c>
    </row>
    <row r="26" customFormat="false" ht="30" hidden="false" customHeight="true" outlineLevel="0" collapsed="false">
      <c r="A26" s="27" t="s">
        <v>24</v>
      </c>
      <c r="B26" s="28" t="s">
        <v>334</v>
      </c>
      <c r="C26" s="28" t="s">
        <v>300</v>
      </c>
      <c r="D26" s="28" t="s">
        <v>335</v>
      </c>
    </row>
    <row r="27" customFormat="false" ht="30" hidden="false" customHeight="true" outlineLevel="0" collapsed="false">
      <c r="A27" s="29" t="s">
        <v>25</v>
      </c>
      <c r="B27" s="30" t="s">
        <v>336</v>
      </c>
      <c r="C27" s="30" t="s">
        <v>300</v>
      </c>
      <c r="D27" s="30" t="s">
        <v>25</v>
      </c>
    </row>
    <row r="28" customFormat="false" ht="30" hidden="false" customHeight="true" outlineLevel="0" collapsed="false">
      <c r="A28" s="27" t="s">
        <v>26</v>
      </c>
      <c r="B28" s="28" t="s">
        <v>337</v>
      </c>
      <c r="C28" s="28" t="s">
        <v>300</v>
      </c>
      <c r="D28" s="28" t="s">
        <v>26</v>
      </c>
    </row>
    <row r="29" customFormat="false" ht="30" hidden="false" customHeight="true" outlineLevel="0" collapsed="false">
      <c r="A29" s="29" t="s">
        <v>27</v>
      </c>
      <c r="B29" s="30" t="s">
        <v>338</v>
      </c>
      <c r="C29" s="30" t="s">
        <v>300</v>
      </c>
      <c r="D29" s="30" t="s">
        <v>27</v>
      </c>
    </row>
    <row r="30" customFormat="false" ht="30" hidden="false" customHeight="true" outlineLevel="0" collapsed="false">
      <c r="A30" s="27" t="s">
        <v>28</v>
      </c>
      <c r="B30" s="28" t="s">
        <v>339</v>
      </c>
      <c r="C30" s="28" t="s">
        <v>318</v>
      </c>
      <c r="D30" s="28" t="s">
        <v>340</v>
      </c>
    </row>
    <row r="31" customFormat="false" ht="30" hidden="false" customHeight="true" outlineLevel="0" collapsed="false">
      <c r="A31" s="29" t="s">
        <v>29</v>
      </c>
      <c r="B31" s="30" t="s">
        <v>341</v>
      </c>
      <c r="C31" s="30" t="s">
        <v>342</v>
      </c>
      <c r="D31" s="30" t="s">
        <v>340</v>
      </c>
    </row>
    <row r="32" customFormat="false" ht="30" hidden="false" customHeight="true" outlineLevel="0" collapsed="false">
      <c r="A32" s="27" t="s">
        <v>30</v>
      </c>
      <c r="B32" s="28" t="s">
        <v>343</v>
      </c>
      <c r="C32" s="28" t="s">
        <v>298</v>
      </c>
      <c r="D32" s="28" t="s">
        <v>340</v>
      </c>
    </row>
  </sheetData>
  <autoFilter ref="A3:D32"/>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55"/>
  </cols>
  <sheetData>
    <row r="1" customFormat="false" ht="31.5" hidden="false" customHeight="true" outlineLevel="0" collapsed="false">
      <c r="A1" s="1" t="s">
        <v>344</v>
      </c>
      <c r="B1" s="1"/>
    </row>
    <row r="3" customFormat="false" ht="21.75" hidden="false" customHeight="true" outlineLevel="0" collapsed="false">
      <c r="A3" s="31" t="s">
        <v>345</v>
      </c>
      <c r="B3" s="32" t="s">
        <v>346</v>
      </c>
    </row>
    <row r="4" customFormat="false" ht="21.75" hidden="false" customHeight="true" outlineLevel="0" collapsed="false">
      <c r="A4" s="31" t="s">
        <v>347</v>
      </c>
      <c r="B4" s="32" t="s">
        <v>348</v>
      </c>
    </row>
    <row r="5" customFormat="false" ht="21.75" hidden="false" customHeight="true" outlineLevel="0" collapsed="false">
      <c r="A5" s="31" t="s">
        <v>349</v>
      </c>
      <c r="B5" s="32" t="s">
        <v>350</v>
      </c>
    </row>
    <row r="6" customFormat="false" ht="21.75" hidden="false" customHeight="true" outlineLevel="0" collapsed="false">
      <c r="A6" s="31" t="s">
        <v>335</v>
      </c>
      <c r="B6" s="33" t="s">
        <v>351</v>
      </c>
    </row>
    <row r="7" customFormat="false" ht="21.75" hidden="false" customHeight="true" outlineLevel="0" collapsed="false">
      <c r="A7" s="31" t="s">
        <v>352</v>
      </c>
      <c r="B7" s="32" t="s">
        <v>353</v>
      </c>
    </row>
    <row r="9" customFormat="false" ht="21.75" hidden="false" customHeight="true" outlineLevel="0" collapsed="false">
      <c r="A9" s="10" t="s">
        <v>354</v>
      </c>
      <c r="B9" s="10"/>
    </row>
    <row r="10" customFormat="false" ht="19.5" hidden="false" customHeight="true" outlineLevel="0" collapsed="false">
      <c r="A10" s="34" t="s">
        <v>355</v>
      </c>
      <c r="B10" s="35" t="s">
        <v>356</v>
      </c>
    </row>
    <row r="11" customFormat="false" ht="19.5" hidden="false" customHeight="true" outlineLevel="0" collapsed="false">
      <c r="A11" s="36" t="s">
        <v>355</v>
      </c>
      <c r="B11" s="37" t="s">
        <v>357</v>
      </c>
    </row>
    <row r="12" customFormat="false" ht="19.5" hidden="false" customHeight="true" outlineLevel="0" collapsed="false">
      <c r="A12" s="34" t="s">
        <v>355</v>
      </c>
      <c r="B12" s="35" t="s">
        <v>358</v>
      </c>
    </row>
    <row r="13" customFormat="false" ht="19.5" hidden="false" customHeight="true" outlineLevel="0" collapsed="false">
      <c r="A13" s="36" t="s">
        <v>355</v>
      </c>
      <c r="B13" s="37" t="s">
        <v>359</v>
      </c>
    </row>
    <row r="14" customFormat="false" ht="19.5" hidden="false" customHeight="true" outlineLevel="0" collapsed="false">
      <c r="A14" s="34" t="s">
        <v>355</v>
      </c>
      <c r="B14" s="35" t="s">
        <v>360</v>
      </c>
    </row>
    <row r="15" customFormat="false" ht="19.5" hidden="false" customHeight="true" outlineLevel="0" collapsed="false">
      <c r="A15" s="36" t="s">
        <v>355</v>
      </c>
      <c r="B15" s="37" t="s">
        <v>361</v>
      </c>
    </row>
    <row r="16" customFormat="false" ht="19.5" hidden="false" customHeight="true" outlineLevel="0" collapsed="false">
      <c r="A16" s="34" t="s">
        <v>355</v>
      </c>
      <c r="B16" s="35" t="s">
        <v>362</v>
      </c>
    </row>
    <row r="17" customFormat="false" ht="19.5" hidden="false" customHeight="true" outlineLevel="0" collapsed="false">
      <c r="A17" s="36" t="s">
        <v>355</v>
      </c>
      <c r="B17" s="37" t="s">
        <v>363</v>
      </c>
    </row>
    <row r="19" customFormat="false" ht="15" hidden="false" customHeight="true" outlineLevel="0" collapsed="false">
      <c r="A19" s="38" t="s">
        <v>364</v>
      </c>
      <c r="B19" s="38"/>
    </row>
    <row r="20" customFormat="false" ht="15" hidden="false" customHeight="false" outlineLevel="0" collapsed="false">
      <c r="A20" s="38"/>
      <c r="B20" s="38"/>
    </row>
    <row r="21" customFormat="false" ht="15" hidden="false" customHeight="false" outlineLevel="0" collapsed="false">
      <c r="A21" s="38"/>
      <c r="B21" s="38"/>
    </row>
  </sheetData>
  <mergeCells count="3">
    <mergeCell ref="A1:B1"/>
    <mergeCell ref="A9:B9"/>
    <mergeCell ref="A19:B21"/>
  </mergeCells>
  <hyperlinks>
    <hyperlink ref="B6" r:id="rId1" display="https://www.linkedin.com/in/mohd-azeem-597a55230"/>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2026-07-12T03:57:57Z</dcterms:created>
  <dc:creator>Mohd Azeem</dc:creator>
  <dc:description>Prepared by Mohd Azeem, Teerthanker Mahaveer University (TMU)</dc:description>
  <dc:language>en-US</dc:language>
  <cp:lastModifiedBy/>
  <dcterms:modified xsi:type="dcterms:W3CDTF">2026-07-12T03:58:03Z</dcterms:modified>
  <cp:revision>1</cp:revision>
  <dc:subject>Data Analytics Internship Submission</dc:subject>
  <dc:title>NGO Research Database - Data Analytics Internship</dc:title>
</cp:coreProperties>
</file>

<file path=docProps/custom.xml><?xml version="1.0" encoding="utf-8"?>
<Properties xmlns="http://schemas.openxmlformats.org/officeDocument/2006/custom-properties" xmlns:vt="http://schemas.openxmlformats.org/officeDocument/2006/docPropsVTypes"/>
</file>